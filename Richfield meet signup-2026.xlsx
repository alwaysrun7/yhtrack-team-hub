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Roster" sheetId="2" r:id="rId5"/>
    <sheet state="visible" name="Signup" sheetId="3" r:id="rId6"/>
    <sheet state="visible" name="By Event" sheetId="4" r:id="rId7"/>
  </sheets>
  <definedNames>
    <definedName hidden="1" localSheetId="2" name="_xlnm._FilterDatabase">Signup!$A$3:$AA$3</definedName>
  </definedNames>
  <calcPr/>
  <extLst>
    <ext uri="GoogleSheetsCustomDataVersion2">
      <go:sheetsCustomData xmlns:go="http://customooxmlschemas.google.com/" r:id="rId8" roundtripDataChecksum="ZYPHfq5hMP0t3OAzjPcF6Yf2fa+lsvlw6gH+ZyZX28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">
      <text>
        <t xml:space="preserve">======
ID#AAAB4tVFLko
YA Track    (2026-04-21 17:58:02)
800m Run</t>
      </text>
    </comment>
    <comment authorId="0" ref="R3">
      <text>
        <t xml:space="preserve">======
ID#AAAB4tVFLkg
YA Track    (2026-04-21 17:58:02)
High Jump</t>
      </text>
    </comment>
    <comment authorId="0" ref="Q3">
      <text>
        <t xml:space="preserve">======
ID#AAAB4tVFLkc
YA Track    (2026-04-21 17:58:02)
Triple Jump</t>
      </text>
    </comment>
    <comment authorId="0" ref="D3">
      <text>
        <t xml:space="preserve">======
ID#AAAB4tVFLkk
YA Track    (2026-04-21 17:58:02)
75m Hurdles</t>
      </text>
    </comment>
    <comment authorId="0" ref="L3">
      <text>
        <t xml:space="preserve">======
ID#AAAB4tVFLkY
YA Track    (2026-04-21 17:58:02)
4x400m Relay</t>
      </text>
    </comment>
    <comment authorId="0" ref="P3">
      <text>
        <t xml:space="preserve">======
ID#AAAB4tVFLkM
YA Track    (2026-04-21 17:58:02)
Long Jump</t>
      </text>
    </comment>
    <comment authorId="0" ref="N3">
      <text>
        <t xml:space="preserve">======
ID#AAAB4tVFLkI
YA Track    (2026-04-21 17:58:02)
Discus</t>
      </text>
    </comment>
    <comment authorId="0" ref="G3">
      <text>
        <t xml:space="preserve">======
ID#AAAB4tVFLkU
YA Track    (2026-04-21 17:58:02)
1600m Run</t>
      </text>
    </comment>
    <comment authorId="0" ref="M3">
      <text>
        <t xml:space="preserve">======
ID#AAAB4tVFLkQ
YA Track    (2026-04-21 17:58:02)
Shot Put</t>
      </text>
    </comment>
    <comment authorId="0" ref="H3">
      <text>
        <t xml:space="preserve">======
ID#AAAB4tVFLkA
YA Track    (2026-04-21 17:58:02)
4x100m Relay</t>
      </text>
    </comment>
    <comment authorId="0" ref="E3">
      <text>
        <t xml:space="preserve">======
ID#AAAB4tVFLj8
YA Track    (2026-04-21 17:58:02)
100m Dash</t>
      </text>
    </comment>
    <comment authorId="0" ref="F3">
      <text>
        <t xml:space="preserve">======
ID#AAAB4tVFLj4
YA Track    (2026-04-21 17:58:02)
4x200m Relay</t>
      </text>
    </comment>
    <comment authorId="0" ref="K3">
      <text>
        <t xml:space="preserve">======
ID#AAAB4tVFLj0
YA Track    (2026-04-21 17:58:02)
200m Dash</t>
      </text>
    </comment>
  </commentList>
  <extLst>
    <ext uri="GoogleSheetsCustomDataVersion2">
      <go:sheetsCustomData xmlns:go="http://customooxmlschemas.google.com/" r:id="rId1" roundtripDataSignature="AMtx7mhp6bEFdXWm0GVYvSKmKbnNM4S4gQ=="/>
    </ext>
  </extLst>
</comments>
</file>

<file path=xl/sharedStrings.xml><?xml version="1.0" encoding="utf-8"?>
<sst xmlns="http://schemas.openxmlformats.org/spreadsheetml/2006/main" count="309" uniqueCount="126">
  <si>
    <t>Yinghua Track — 2026 Event Signup</t>
  </si>
  <si>
    <t>How to use this workbook</t>
  </si>
  <si>
    <t>1) ROSTER tab — add/remove athletes here. Name, Grade, Gender (M or F).</t>
  </si>
  <si>
    <t xml:space="preserve">   Grade and Gender are required — they control which heat each athlete runs in on the By Event tab.</t>
  </si>
  <si>
    <t>2) SIGNUP tab — one row per athlete. Type into the event columns:</t>
  </si>
  <si>
    <t xml:space="preserve">     • X  = athlete is in this event (individual)</t>
  </si>
  <si>
    <t xml:space="preserve">     • A  or  B  or  C  or  D  = relay team letter (4x100 / 4x200 / 4x400)</t>
  </si>
  <si>
    <t xml:space="preserve">   Leave cells blank if the athlete isn't in that event.</t>
  </si>
  <si>
    <t>3) The right-side summary columns auto-count for you:</t>
  </si>
  <si>
    <t xml:space="preserve">     • Run #     — number of running events (relay counts as 1)</t>
  </si>
  <si>
    <t xml:space="preserve">     • Field #   — number of field events</t>
  </si>
  <si>
    <t xml:space="preserve">     • Total     — all events. Max allowed = 4. Turns RED when over.</t>
  </si>
  <si>
    <t xml:space="preserve">     • Valid?    — flags if the running/field mix is invalid (must be 3+1 or 1+3, or fewer).</t>
  </si>
  <si>
    <t>4) BY EVENT tab — auto-populated. Each event lists who signed up, split by heat group</t>
  </si>
  <si>
    <t xml:space="preserve">   (6/7 Girls → 8 Girls → 6/7 Boys → 8 Boys) for running events. Relays show teams A/B/C/D.</t>
  </si>
  <si>
    <t xml:space="preserve">   Use this as your heat sheet at the meet.</t>
  </si>
  <si>
    <t>Conference rules:</t>
  </si>
  <si>
    <t xml:space="preserve">   • Max 4 events per athlete total (3 running + 1 field  OR  3 field + 1 running)</t>
  </si>
  <si>
    <t xml:space="preserve">   • Running event order: 75mH → 100m → 4x200 → 1600 → 4x100 → 400 → 800 → 200 → 4x400</t>
  </si>
  <si>
    <t xml:space="preserve">   • Within each running event, heats run: 6/7 Girls → 8 Girls → 6/7 Boys → 8 Boys</t>
  </si>
  <si>
    <t xml:space="preserve">   • Field events run concurrently — Shot Put (8 lb), Discus, Long Jump, Triple Jump, High Jump</t>
  </si>
  <si>
    <t>Compatibility note:</t>
  </si>
  <si>
    <t xml:space="preserve">   Works in Excel 2021+, Excel 365, and Google Sheets natively (uses FILTER + TEXTJOIN).</t>
  </si>
  <si>
    <t xml:space="preserve">   To share with multiple coaches editing at once: upload to Google Drive, open with Google Sheets,</t>
  </si>
  <si>
    <t xml:space="preserve">   then share the doc. All formulas, dropdowns, and conditional formatting carry over.</t>
  </si>
  <si>
    <t>Roster — edit here to add/remove athletes</t>
  </si>
  <si>
    <t>Name</t>
  </si>
  <si>
    <t>Grade</t>
  </si>
  <si>
    <t>Gender (M/F)</t>
  </si>
  <si>
    <t>Reuben Addington</t>
  </si>
  <si>
    <t>M</t>
  </si>
  <si>
    <t>Cole Beaudry</t>
  </si>
  <si>
    <t>Althea Bortel Fielder</t>
  </si>
  <si>
    <t>F</t>
  </si>
  <si>
    <t>Keva Bowron</t>
  </si>
  <si>
    <t>Liam Bursell</t>
  </si>
  <si>
    <t>Mila Bursell</t>
  </si>
  <si>
    <t>Grayson Chon</t>
  </si>
  <si>
    <t>Cooper Coblentz</t>
  </si>
  <si>
    <t>Hudson Coblentz</t>
  </si>
  <si>
    <t>Nathan Coblentz</t>
  </si>
  <si>
    <t>Addis Demere</t>
  </si>
  <si>
    <t>Kai Dinger</t>
  </si>
  <si>
    <t>Alexandra Ebinger</t>
  </si>
  <si>
    <t>Cora Ebinger</t>
  </si>
  <si>
    <t>Elyse Folbrecht</t>
  </si>
  <si>
    <t>Remy Fortin</t>
  </si>
  <si>
    <t>Vienna Haas</t>
  </si>
  <si>
    <t>Aedan Herman</t>
  </si>
  <si>
    <t>Ben Hinrichs</t>
  </si>
  <si>
    <t>Sage Houdek</t>
  </si>
  <si>
    <t>Ari Klapperich-Khuu</t>
  </si>
  <si>
    <t>Marcus Kunc</t>
  </si>
  <si>
    <t>Mattias Kunc</t>
  </si>
  <si>
    <t>Perrin Light-Haberstroh</t>
  </si>
  <si>
    <t>Devin Lindquist</t>
  </si>
  <si>
    <t>Gabriel Nowariak</t>
  </si>
  <si>
    <t>Annika Peterson</t>
  </si>
  <si>
    <t>Cailee Pham</t>
  </si>
  <si>
    <t>Amelia Roddy</t>
  </si>
  <si>
    <t>Audrey Roffe</t>
  </si>
  <si>
    <t>Louis Ryan</t>
  </si>
  <si>
    <t>Arya Sanaka</t>
  </si>
  <si>
    <t>Leo Shu</t>
  </si>
  <si>
    <t>Ben Surla</t>
  </si>
  <si>
    <t>Jin Trenh</t>
  </si>
  <si>
    <t>Ethan Tschida</t>
  </si>
  <si>
    <t>Isabel Tschida</t>
  </si>
  <si>
    <t>Caleb Wilson</t>
  </si>
  <si>
    <t>Isaac Wilson</t>
  </si>
  <si>
    <t>RUNNING EVENTS (type X, or A/B/C/D for relays)</t>
  </si>
  <si>
    <t>FIELD EVENTS (type X)</t>
  </si>
  <si>
    <t>SUMMARY</t>
  </si>
  <si>
    <t>Gender</t>
  </si>
  <si>
    <t>75mH</t>
  </si>
  <si>
    <t>100m</t>
  </si>
  <si>
    <t>4x200</t>
  </si>
  <si>
    <t>1600m</t>
  </si>
  <si>
    <t>4x100</t>
  </si>
  <si>
    <t>400m</t>
  </si>
  <si>
    <t>800m</t>
  </si>
  <si>
    <t>200m</t>
  </si>
  <si>
    <t>4x400</t>
  </si>
  <si>
    <t>SP</t>
  </si>
  <si>
    <t>DISC</t>
  </si>
  <si>
    <t>LJ</t>
  </si>
  <si>
    <t>TJ</t>
  </si>
  <si>
    <t>HJ</t>
  </si>
  <si>
    <t>Run #</t>
  </si>
  <si>
    <t>Field #</t>
  </si>
  <si>
    <t>Total</t>
  </si>
  <si>
    <t>Valid?</t>
  </si>
  <si>
    <t>Notes</t>
  </si>
  <si>
    <t>X</t>
  </si>
  <si>
    <t>C</t>
  </si>
  <si>
    <t>A</t>
  </si>
  <si>
    <t xml:space="preserve">Not coming </t>
  </si>
  <si>
    <t>B</t>
  </si>
  <si>
    <t>Sick</t>
  </si>
  <si>
    <t>conflict</t>
  </si>
  <si>
    <t>By Event — auto-populated heat sheet</t>
  </si>
  <si>
    <t>Running events run in order below. Heats within each event: 6/7G → 8G → 6/7B → 8B.</t>
  </si>
  <si>
    <t>RUNNING EVENTS (in conference order)</t>
  </si>
  <si>
    <t>75m Hurdles</t>
  </si>
  <si>
    <t>6/7 Girls</t>
  </si>
  <si>
    <t>8 Girls</t>
  </si>
  <si>
    <t>6/7 Boys</t>
  </si>
  <si>
    <t>8 Boys</t>
  </si>
  <si>
    <t>100m Dash</t>
  </si>
  <si>
    <t>4x200m Relay</t>
  </si>
  <si>
    <t>Team A</t>
  </si>
  <si>
    <t>Team B</t>
  </si>
  <si>
    <t>Team C</t>
  </si>
  <si>
    <t>Team D</t>
  </si>
  <si>
    <t>1600m Run</t>
  </si>
  <si>
    <t>4x100m Relay</t>
  </si>
  <si>
    <t>400m Dash</t>
  </si>
  <si>
    <t>800m Run</t>
  </si>
  <si>
    <t>200m Dash</t>
  </si>
  <si>
    <t>4x400m Relay</t>
  </si>
  <si>
    <t>FIELD EVENTS (concurrent)</t>
  </si>
  <si>
    <t>Shot Put</t>
  </si>
  <si>
    <t>Discus</t>
  </si>
  <si>
    <t>Long Jump</t>
  </si>
  <si>
    <t>Triple Jump</t>
  </si>
  <si>
    <t>High Jump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</si>
</sst>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>
      <sz val="11.0"/>
      <color theme="1"/>
      <name val="Calibri"/>
    </font>
    <font>
      <b/>
      <sz val="12.0"/>
      <color theme="1"/>
      <name val="Calibri"/>
      <scheme val="minor"/>
    </font>
    <font>
      <b/>
      <sz val="11.0"/>
      <color theme="1"/>
      <name val="Calibri"/>
      <scheme val="minor"/>
    </font>
    <font/>
    <font>
      <b/>
      <sz val="10.0"/>
      <color theme="1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  <scheme val="minor"/>
    </font>
    <font>
      <strike/>
      <sz val="11.0"/>
      <color theme="1"/>
      <name val="Calibri"/>
    </font>
    <font>
      <strike/>
      <color theme="1"/>
      <name val="Calibri"/>
      <scheme val="minor"/>
    </font>
    <font>
      <i/>
      <color rgb="FF666666"/>
      <name val="Calibri"/>
      <scheme val="minor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90E1D"/>
        <bgColor rgb="FF790E1D"/>
      </patternFill>
    </fill>
    <fill>
      <patternFill patternType="solid">
        <fgColor rgb="FFFFD700"/>
        <bgColor rgb="FFFFD700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F5F5F5"/>
        <bgColor rgb="FFF5F5F5"/>
      </patternFill>
    </fill>
    <fill>
      <patternFill patternType="solid">
        <fgColor rgb="FF2B6CB0"/>
        <bgColor rgb="FF2B6CB0"/>
      </patternFill>
    </fill>
    <fill>
      <patternFill patternType="solid">
        <fgColor rgb="FFD69E2E"/>
        <bgColor rgb="FFD69E2E"/>
      </patternFill>
    </fill>
  </fills>
  <borders count="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2" fillId="2" fontId="1" numFmtId="0" xfId="0" applyAlignment="1" applyBorder="1" applyFont="1">
      <alignment horizontal="left" vertical="center"/>
    </xf>
    <xf borderId="3" fillId="0" fontId="5" numFmtId="0" xfId="0" applyBorder="1" applyFont="1"/>
    <xf borderId="4" fillId="0" fontId="5" numFmtId="0" xfId="0" applyBorder="1" applyFont="1"/>
    <xf borderId="5" fillId="3" fontId="6" numFmtId="0" xfId="0" applyAlignment="1" applyBorder="1" applyFill="1" applyFont="1">
      <alignment horizontal="center" vertical="center"/>
    </xf>
    <xf borderId="5" fillId="0" fontId="2" numFmtId="0" xfId="0" applyBorder="1" applyFont="1"/>
    <xf borderId="5" fillId="0" fontId="2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horizontal="left" vertical="center"/>
    </xf>
    <xf borderId="2" fillId="2" fontId="7" numFmtId="0" xfId="0" applyAlignment="1" applyBorder="1" applyFont="1">
      <alignment horizontal="center" vertical="center"/>
    </xf>
    <xf borderId="3" fillId="2" fontId="7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vertical="center"/>
    </xf>
    <xf borderId="6" fillId="4" fontId="6" numFmtId="0" xfId="0" applyAlignment="1" applyBorder="1" applyFill="1" applyFont="1">
      <alignment horizontal="center" vertical="center"/>
    </xf>
    <xf borderId="6" fillId="4" fontId="6" numFmtId="0" xfId="0" applyAlignment="1" applyBorder="1" applyFont="1">
      <alignment horizontal="center" readingOrder="0" vertical="center"/>
    </xf>
    <xf borderId="5" fillId="5" fontId="6" numFmtId="0" xfId="0" applyAlignment="1" applyBorder="1" applyFill="1" applyFont="1">
      <alignment horizontal="center" vertical="center"/>
    </xf>
    <xf borderId="5" fillId="6" fontId="6" numFmtId="0" xfId="0" applyAlignment="1" applyBorder="1" applyFill="1" applyFont="1">
      <alignment horizontal="center" vertical="center"/>
    </xf>
    <xf borderId="5" fillId="6" fontId="6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5" fillId="6" fontId="2" numFmtId="0" xfId="0" applyAlignment="1" applyBorder="1" applyFont="1">
      <alignment horizontal="center" vertical="center"/>
    </xf>
    <xf borderId="0" fillId="0" fontId="8" numFmtId="0" xfId="0" applyAlignment="1" applyFont="1">
      <alignment readingOrder="0"/>
    </xf>
    <xf borderId="5" fillId="0" fontId="9" numFmtId="0" xfId="0" applyBorder="1" applyFont="1"/>
    <xf borderId="5" fillId="0" fontId="9" numFmtId="0" xfId="0" applyAlignment="1" applyBorder="1" applyFont="1">
      <alignment horizontal="center" vertical="center"/>
    </xf>
    <xf borderId="5" fillId="6" fontId="9" numFmtId="0" xfId="0" applyAlignment="1" applyBorder="1" applyFont="1">
      <alignment horizontal="center" vertical="center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11" numFmtId="0" xfId="0" applyFont="1"/>
    <xf borderId="2" fillId="2" fontId="7" numFmtId="0" xfId="0" applyAlignment="1" applyBorder="1" applyFont="1">
      <alignment horizontal="left" vertical="center"/>
    </xf>
    <xf borderId="2" fillId="7" fontId="7" numFmtId="0" xfId="0" applyAlignment="1" applyBorder="1" applyFill="1" applyFont="1">
      <alignment horizontal="left" vertical="center"/>
    </xf>
    <xf borderId="5" fillId="0" fontId="12" numFmtId="0" xfId="0" applyAlignment="1" applyBorder="1" applyFont="1">
      <alignment horizontal="left"/>
    </xf>
    <xf borderId="5" fillId="0" fontId="2" numFmtId="0" xfId="0" applyAlignment="1" applyBorder="1" applyFont="1">
      <alignment horizontal="left" shrinkToFit="0" vertical="center" wrapText="1"/>
    </xf>
    <xf borderId="2" fillId="8" fontId="7" numFmtId="0" xfId="0" applyAlignment="1" applyBorder="1" applyFill="1" applyFont="1">
      <alignment horizontal="left" vertical="center"/>
    </xf>
  </cellXfs>
  <cellStyles count="1">
    <cellStyle xfId="0" name="Normal" builtinId="0"/>
  </cellStyles>
  <dxfs count="3">
    <dxf>
      <font>
        <b/>
        <color rgb="FFC62828"/>
      </font>
      <fill>
        <patternFill patternType="solid">
          <fgColor rgb="FFFFCDD2"/>
          <bgColor rgb="FFFFCDD2"/>
        </patternFill>
      </fill>
      <border/>
    </dxf>
    <dxf>
      <font>
        <b/>
        <color rgb="FF8A6D00"/>
      </font>
      <fill>
        <patternFill patternType="solid">
          <fgColor rgb="FFFFF3CD"/>
          <bgColor rgb="FFFFF3CD"/>
        </patternFill>
      </fill>
      <border/>
    </dxf>
    <dxf>
      <font>
        <b/>
        <color rgb="FF2E7D32"/>
      </font>
      <fill>
        <patternFill patternType="solid">
          <fgColor rgb="FFC8E6C9"/>
          <bgColor rgb="FFC8E6C9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25.5" customHeight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2" t="s">
        <v>2</v>
      </c>
    </row>
    <row r="6">
      <c r="A6" s="2" t="s">
        <v>3</v>
      </c>
    </row>
    <row r="7">
      <c r="A7" s="2"/>
    </row>
    <row r="8">
      <c r="A8" s="2" t="s">
        <v>4</v>
      </c>
    </row>
    <row r="9">
      <c r="A9" s="2" t="s">
        <v>5</v>
      </c>
    </row>
    <row r="10">
      <c r="A10" s="2" t="s">
        <v>6</v>
      </c>
    </row>
    <row r="11">
      <c r="A11" s="2" t="s">
        <v>7</v>
      </c>
    </row>
    <row r="12">
      <c r="A12" s="2"/>
    </row>
    <row r="13">
      <c r="A13" s="2" t="s">
        <v>8</v>
      </c>
    </row>
    <row r="14">
      <c r="A14" s="2" t="s">
        <v>9</v>
      </c>
    </row>
    <row r="15">
      <c r="A15" s="2" t="s">
        <v>10</v>
      </c>
    </row>
    <row r="16">
      <c r="A16" s="2" t="s">
        <v>11</v>
      </c>
    </row>
    <row r="17">
      <c r="A17" s="2" t="s">
        <v>12</v>
      </c>
    </row>
    <row r="18">
      <c r="A18" s="2"/>
    </row>
    <row r="19">
      <c r="A19" s="2" t="s">
        <v>13</v>
      </c>
    </row>
    <row r="20">
      <c r="A20" s="2" t="s">
        <v>14</v>
      </c>
    </row>
    <row r="21" ht="15.75" customHeight="1">
      <c r="A21" s="2" t="s">
        <v>15</v>
      </c>
    </row>
    <row r="22" ht="15.75" customHeight="1">
      <c r="A22" s="2"/>
    </row>
    <row r="23" ht="15.75" customHeight="1">
      <c r="A23" s="4" t="s">
        <v>16</v>
      </c>
    </row>
    <row r="24" ht="15.75" customHeight="1">
      <c r="A24" s="2" t="s">
        <v>17</v>
      </c>
    </row>
    <row r="25" ht="15.75" customHeight="1">
      <c r="A25" s="2" t="s">
        <v>18</v>
      </c>
    </row>
    <row r="26" ht="15.75" customHeight="1">
      <c r="A26" s="2" t="s">
        <v>19</v>
      </c>
    </row>
    <row r="27" ht="15.75" customHeight="1">
      <c r="A27" s="2" t="s">
        <v>20</v>
      </c>
    </row>
    <row r="28" ht="15.75" customHeight="1">
      <c r="A28" s="2"/>
    </row>
    <row r="29" ht="15.75" customHeight="1">
      <c r="A29" s="4" t="s">
        <v>21</v>
      </c>
    </row>
    <row r="30" ht="15.75" customHeight="1">
      <c r="A30" s="2" t="s">
        <v>22</v>
      </c>
    </row>
    <row r="31" ht="15.75" customHeight="1">
      <c r="A31" s="2" t="s">
        <v>23</v>
      </c>
    </row>
    <row r="32" ht="15.75" customHeight="1">
      <c r="A32" s="2" t="s">
        <v>24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10.0"/>
    <col customWidth="1" min="4" max="26" width="8.71"/>
  </cols>
  <sheetData>
    <row r="1" ht="21.75" customHeight="1">
      <c r="A1" s="5" t="s">
        <v>25</v>
      </c>
      <c r="B1" s="6"/>
      <c r="C1" s="7"/>
    </row>
    <row r="2">
      <c r="A2" s="8" t="s">
        <v>26</v>
      </c>
      <c r="B2" s="8" t="s">
        <v>27</v>
      </c>
      <c r="C2" s="8" t="s">
        <v>28</v>
      </c>
    </row>
    <row r="3">
      <c r="A3" s="9" t="s">
        <v>29</v>
      </c>
      <c r="B3" s="10">
        <v>6.0</v>
      </c>
      <c r="C3" s="10" t="s">
        <v>30</v>
      </c>
    </row>
    <row r="4">
      <c r="A4" s="9" t="s">
        <v>31</v>
      </c>
      <c r="B4" s="10">
        <v>7.0</v>
      </c>
      <c r="C4" s="10" t="s">
        <v>30</v>
      </c>
    </row>
    <row r="5">
      <c r="A5" s="9" t="s">
        <v>32</v>
      </c>
      <c r="B5" s="10">
        <v>7.0</v>
      </c>
      <c r="C5" s="10" t="s">
        <v>33</v>
      </c>
    </row>
    <row r="6">
      <c r="A6" s="9" t="s">
        <v>34</v>
      </c>
      <c r="B6" s="10">
        <v>7.0</v>
      </c>
      <c r="C6" s="10" t="s">
        <v>33</v>
      </c>
    </row>
    <row r="7">
      <c r="A7" s="9" t="s">
        <v>35</v>
      </c>
      <c r="B7" s="10">
        <v>7.0</v>
      </c>
      <c r="C7" s="10" t="s">
        <v>30</v>
      </c>
    </row>
    <row r="8">
      <c r="A8" s="9" t="s">
        <v>36</v>
      </c>
      <c r="B8" s="10">
        <v>7.0</v>
      </c>
      <c r="C8" s="10" t="s">
        <v>33</v>
      </c>
    </row>
    <row r="9">
      <c r="A9" s="9" t="s">
        <v>37</v>
      </c>
      <c r="B9" s="10">
        <v>7.0</v>
      </c>
      <c r="C9" s="10" t="s">
        <v>30</v>
      </c>
    </row>
    <row r="10">
      <c r="A10" s="9" t="s">
        <v>38</v>
      </c>
      <c r="B10" s="10">
        <v>8.0</v>
      </c>
      <c r="C10" s="10" t="s">
        <v>30</v>
      </c>
    </row>
    <row r="11">
      <c r="A11" s="9" t="s">
        <v>39</v>
      </c>
      <c r="B11" s="10">
        <v>8.0</v>
      </c>
      <c r="C11" s="10" t="s">
        <v>30</v>
      </c>
    </row>
    <row r="12">
      <c r="A12" s="9" t="s">
        <v>40</v>
      </c>
      <c r="B12" s="10">
        <v>8.0</v>
      </c>
      <c r="C12" s="10" t="s">
        <v>30</v>
      </c>
    </row>
    <row r="13">
      <c r="A13" s="9" t="s">
        <v>41</v>
      </c>
      <c r="B13" s="10">
        <v>8.0</v>
      </c>
      <c r="C13" s="10" t="s">
        <v>30</v>
      </c>
    </row>
    <row r="14">
      <c r="A14" s="9" t="s">
        <v>42</v>
      </c>
      <c r="B14" s="10">
        <v>7.0</v>
      </c>
      <c r="C14" s="10" t="s">
        <v>30</v>
      </c>
    </row>
    <row r="15">
      <c r="A15" s="9" t="s">
        <v>43</v>
      </c>
      <c r="B15" s="10">
        <v>6.0</v>
      </c>
      <c r="C15" s="10" t="s">
        <v>33</v>
      </c>
    </row>
    <row r="16">
      <c r="A16" s="9" t="s">
        <v>44</v>
      </c>
      <c r="B16" s="10">
        <v>8.0</v>
      </c>
      <c r="C16" s="10" t="s">
        <v>33</v>
      </c>
    </row>
    <row r="17">
      <c r="A17" s="9" t="s">
        <v>45</v>
      </c>
      <c r="B17" s="10">
        <v>6.0</v>
      </c>
      <c r="C17" s="10" t="s">
        <v>33</v>
      </c>
    </row>
    <row r="18">
      <c r="A18" s="9" t="s">
        <v>46</v>
      </c>
      <c r="B18" s="10">
        <v>7.0</v>
      </c>
      <c r="C18" s="10" t="s">
        <v>30</v>
      </c>
    </row>
    <row r="19">
      <c r="A19" s="9" t="s">
        <v>47</v>
      </c>
      <c r="B19" s="10">
        <v>7.0</v>
      </c>
      <c r="C19" s="10" t="s">
        <v>33</v>
      </c>
    </row>
    <row r="20">
      <c r="A20" s="9" t="s">
        <v>48</v>
      </c>
      <c r="B20" s="10">
        <v>8.0</v>
      </c>
      <c r="C20" s="10" t="s">
        <v>30</v>
      </c>
    </row>
    <row r="21" ht="15.75" customHeight="1">
      <c r="A21" s="9" t="s">
        <v>49</v>
      </c>
      <c r="B21" s="10">
        <v>8.0</v>
      </c>
      <c r="C21" s="10" t="s">
        <v>30</v>
      </c>
    </row>
    <row r="22" ht="15.75" customHeight="1">
      <c r="A22" s="9" t="s">
        <v>50</v>
      </c>
      <c r="B22" s="10">
        <v>8.0</v>
      </c>
      <c r="C22" s="10" t="s">
        <v>33</v>
      </c>
    </row>
    <row r="23" ht="15.75" customHeight="1">
      <c r="A23" s="9" t="s">
        <v>51</v>
      </c>
      <c r="B23" s="10">
        <v>7.0</v>
      </c>
      <c r="C23" s="10" t="s">
        <v>30</v>
      </c>
    </row>
    <row r="24" ht="15.75" customHeight="1">
      <c r="A24" s="9" t="s">
        <v>52</v>
      </c>
      <c r="B24" s="10">
        <v>6.0</v>
      </c>
      <c r="C24" s="10" t="s">
        <v>30</v>
      </c>
    </row>
    <row r="25" ht="15.75" customHeight="1">
      <c r="A25" s="9" t="s">
        <v>53</v>
      </c>
      <c r="B25" s="10">
        <v>8.0</v>
      </c>
      <c r="C25" s="10" t="s">
        <v>30</v>
      </c>
    </row>
    <row r="26" ht="15.75" customHeight="1">
      <c r="A26" s="9" t="s">
        <v>54</v>
      </c>
      <c r="B26" s="10">
        <v>6.0</v>
      </c>
      <c r="C26" s="10" t="s">
        <v>33</v>
      </c>
    </row>
    <row r="27" ht="15.75" customHeight="1">
      <c r="A27" s="9" t="s">
        <v>55</v>
      </c>
      <c r="B27" s="10">
        <v>6.0</v>
      </c>
      <c r="C27" s="10" t="s">
        <v>30</v>
      </c>
    </row>
    <row r="28" ht="15.75" customHeight="1">
      <c r="A28" s="9" t="s">
        <v>56</v>
      </c>
      <c r="B28" s="10">
        <v>6.0</v>
      </c>
      <c r="C28" s="10" t="s">
        <v>30</v>
      </c>
    </row>
    <row r="29" ht="15.75" customHeight="1">
      <c r="A29" s="9" t="s">
        <v>57</v>
      </c>
      <c r="B29" s="10">
        <v>7.0</v>
      </c>
      <c r="C29" s="10" t="s">
        <v>33</v>
      </c>
    </row>
    <row r="30" ht="15.75" customHeight="1">
      <c r="A30" s="9" t="s">
        <v>58</v>
      </c>
      <c r="B30" s="10">
        <v>8.0</v>
      </c>
      <c r="C30" s="10" t="s">
        <v>33</v>
      </c>
    </row>
    <row r="31" ht="15.75" customHeight="1">
      <c r="A31" s="9" t="s">
        <v>59</v>
      </c>
      <c r="B31" s="10">
        <v>6.0</v>
      </c>
      <c r="C31" s="10" t="s">
        <v>33</v>
      </c>
    </row>
    <row r="32" ht="15.75" customHeight="1">
      <c r="A32" s="9" t="s">
        <v>60</v>
      </c>
      <c r="B32" s="10">
        <v>7.0</v>
      </c>
      <c r="C32" s="10" t="s">
        <v>33</v>
      </c>
    </row>
    <row r="33" ht="15.75" customHeight="1">
      <c r="A33" s="9" t="s">
        <v>61</v>
      </c>
      <c r="B33" s="10">
        <v>7.0</v>
      </c>
      <c r="C33" s="10" t="s">
        <v>30</v>
      </c>
    </row>
    <row r="34" ht="15.75" customHeight="1">
      <c r="A34" s="9" t="s">
        <v>62</v>
      </c>
      <c r="B34" s="10">
        <v>7.0</v>
      </c>
      <c r="C34" s="10" t="s">
        <v>33</v>
      </c>
    </row>
    <row r="35" ht="15.75" customHeight="1">
      <c r="A35" s="9" t="s">
        <v>63</v>
      </c>
      <c r="B35" s="10">
        <v>8.0</v>
      </c>
      <c r="C35" s="10" t="s">
        <v>30</v>
      </c>
    </row>
    <row r="36" ht="15.75" customHeight="1">
      <c r="A36" s="9" t="s">
        <v>64</v>
      </c>
      <c r="B36" s="10">
        <v>7.0</v>
      </c>
      <c r="C36" s="10" t="s">
        <v>30</v>
      </c>
    </row>
    <row r="37" ht="15.75" customHeight="1">
      <c r="A37" s="9" t="s">
        <v>65</v>
      </c>
      <c r="B37" s="10">
        <v>8.0</v>
      </c>
      <c r="C37" s="10" t="s">
        <v>30</v>
      </c>
    </row>
    <row r="38" ht="15.75" customHeight="1">
      <c r="A38" s="9" t="s">
        <v>66</v>
      </c>
      <c r="B38" s="10">
        <v>6.0</v>
      </c>
      <c r="C38" s="10" t="s">
        <v>30</v>
      </c>
    </row>
    <row r="39" ht="15.75" customHeight="1">
      <c r="A39" s="9" t="s">
        <v>67</v>
      </c>
      <c r="B39" s="10">
        <v>8.0</v>
      </c>
      <c r="C39" s="10" t="s">
        <v>33</v>
      </c>
    </row>
    <row r="40" ht="15.75" customHeight="1">
      <c r="A40" s="9" t="s">
        <v>68</v>
      </c>
      <c r="B40" s="10">
        <v>7.0</v>
      </c>
      <c r="C40" s="10" t="s">
        <v>30</v>
      </c>
    </row>
    <row r="41" ht="15.75" customHeight="1">
      <c r="A41" s="9" t="s">
        <v>69</v>
      </c>
      <c r="B41" s="10">
        <v>7.0</v>
      </c>
      <c r="C41" s="10" t="s">
        <v>30</v>
      </c>
    </row>
    <row r="42" ht="15.75" customHeight="1">
      <c r="A42" s="9"/>
      <c r="B42" s="9"/>
      <c r="C42" s="9"/>
    </row>
    <row r="43" ht="15.75" customHeight="1">
      <c r="A43" s="9"/>
      <c r="B43" s="9"/>
      <c r="C43" s="9"/>
    </row>
    <row r="44" ht="15.75" customHeight="1">
      <c r="A44" s="9"/>
      <c r="B44" s="9"/>
      <c r="C44" s="9"/>
    </row>
    <row r="45" ht="15.75" customHeight="1">
      <c r="A45" s="9"/>
      <c r="B45" s="9"/>
      <c r="C45" s="9"/>
    </row>
    <row r="46" ht="15.75" customHeight="1">
      <c r="A46" s="9"/>
      <c r="B46" s="9"/>
      <c r="C46" s="9"/>
    </row>
    <row r="47" ht="15.75" customHeight="1">
      <c r="A47" s="9"/>
      <c r="B47" s="9"/>
      <c r="C47" s="9"/>
    </row>
    <row r="48" ht="15.75" customHeight="1">
      <c r="A48" s="9"/>
      <c r="B48" s="9"/>
      <c r="C48" s="9"/>
    </row>
    <row r="49" ht="15.75" customHeight="1">
      <c r="A49" s="9"/>
      <c r="B49" s="9"/>
      <c r="C49" s="9"/>
    </row>
    <row r="50" ht="15.75" customHeight="1">
      <c r="A50" s="9"/>
      <c r="B50" s="9"/>
      <c r="C50" s="9"/>
    </row>
    <row r="51" ht="15.75" customHeight="1">
      <c r="A51" s="9"/>
      <c r="B51" s="9"/>
      <c r="C51" s="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:B51">
      <formula1>"5,6,7,8"</formula1>
    </dataValidation>
    <dataValidation type="list" allowBlank="1" sqref="C3:C51">
      <formula1>"M,F"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9.71"/>
    <col customWidth="1" min="2" max="7" width="10.86"/>
    <col customWidth="1" min="8" max="10" width="7.0"/>
    <col customWidth="1" min="11" max="11" width="13.0"/>
    <col customWidth="1" min="12" max="18" width="7.0"/>
    <col customWidth="1" min="19" max="19" width="8.0"/>
    <col customWidth="1" min="20" max="20" width="9.0"/>
    <col customWidth="1" min="21" max="21" width="8.0"/>
    <col customWidth="1" min="22" max="22" width="26.0"/>
    <col customWidth="1" min="23" max="27" width="8.71"/>
  </cols>
  <sheetData>
    <row r="1" ht="21.75" customHeight="1">
      <c r="A1" s="5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2"/>
    </row>
    <row r="2">
      <c r="D2" s="13" t="s">
        <v>70</v>
      </c>
      <c r="E2" s="14"/>
      <c r="F2" s="14"/>
      <c r="G2" s="14"/>
      <c r="H2" s="14"/>
      <c r="I2" s="14"/>
      <c r="J2" s="14"/>
      <c r="K2" s="14"/>
      <c r="L2" s="15"/>
      <c r="M2" s="13" t="s">
        <v>71</v>
      </c>
      <c r="N2" s="6"/>
      <c r="O2" s="6"/>
      <c r="P2" s="6"/>
      <c r="Q2" s="6"/>
      <c r="R2" s="7"/>
      <c r="S2" s="13" t="s">
        <v>72</v>
      </c>
      <c r="T2" s="6"/>
      <c r="U2" s="6"/>
      <c r="V2" s="7"/>
    </row>
    <row r="3">
      <c r="A3" s="8" t="s">
        <v>26</v>
      </c>
      <c r="B3" s="8" t="s">
        <v>27</v>
      </c>
      <c r="C3" s="8" t="s">
        <v>73</v>
      </c>
      <c r="D3" s="16" t="s">
        <v>74</v>
      </c>
      <c r="E3" s="16" t="s">
        <v>75</v>
      </c>
      <c r="F3" s="16" t="s">
        <v>76</v>
      </c>
      <c r="G3" s="16" t="s">
        <v>77</v>
      </c>
      <c r="H3" s="16" t="s">
        <v>78</v>
      </c>
      <c r="I3" s="17" t="s">
        <v>79</v>
      </c>
      <c r="J3" s="16" t="s">
        <v>80</v>
      </c>
      <c r="K3" s="16" t="s">
        <v>81</v>
      </c>
      <c r="L3" s="16" t="s">
        <v>82</v>
      </c>
      <c r="M3" s="18" t="s">
        <v>83</v>
      </c>
      <c r="N3" s="18" t="s">
        <v>84</v>
      </c>
      <c r="O3" s="18"/>
      <c r="P3" s="18" t="s">
        <v>85</v>
      </c>
      <c r="Q3" s="18" t="s">
        <v>86</v>
      </c>
      <c r="R3" s="18" t="s">
        <v>87</v>
      </c>
      <c r="S3" s="19" t="s">
        <v>88</v>
      </c>
      <c r="T3" s="19" t="s">
        <v>89</v>
      </c>
      <c r="U3" s="19" t="s">
        <v>90</v>
      </c>
      <c r="V3" s="19" t="s">
        <v>91</v>
      </c>
      <c r="W3" s="20" t="s">
        <v>92</v>
      </c>
    </row>
    <row r="4">
      <c r="A4" s="9" t="str">
        <f>IF(Roster!A3="","",Roster!A3)</f>
        <v>Reuben Addington</v>
      </c>
      <c r="B4" s="10">
        <f>IF(Roster!B3="","",Roster!B3)</f>
        <v>6</v>
      </c>
      <c r="C4" s="10" t="str">
        <f>IF(Roster!C3="","",Roster!C3)</f>
        <v>M</v>
      </c>
      <c r="D4" s="10"/>
      <c r="E4" s="21" t="s">
        <v>93</v>
      </c>
      <c r="F4" s="21" t="s">
        <v>94</v>
      </c>
      <c r="G4" s="10"/>
      <c r="H4" s="21"/>
      <c r="I4" s="21" t="s">
        <v>93</v>
      </c>
      <c r="J4" s="10"/>
      <c r="K4" s="10"/>
      <c r="L4" s="10"/>
      <c r="M4" s="21" t="s">
        <v>93</v>
      </c>
      <c r="N4" s="10"/>
      <c r="O4" s="10"/>
      <c r="P4" s="10"/>
      <c r="Q4" s="10"/>
      <c r="R4" s="10"/>
      <c r="S4" s="22">
        <f t="shared" ref="S4:S52" si="1">IF(A4="","",COUNTA(D4:L4))</f>
        <v>3</v>
      </c>
      <c r="T4" s="22">
        <f t="shared" ref="T4:T52" si="2">IF(A4="","",COUNTA(M4:R4))</f>
        <v>1</v>
      </c>
      <c r="U4" s="22">
        <f t="shared" ref="U4:U52" si="3">IF(A4="","",S4+T4)</f>
        <v>4</v>
      </c>
      <c r="V4" s="22" t="str">
        <f t="shared" ref="V4:V52" si="4">IF(A4="","",IF(U4=0,"",IF(U4&gt;4,"❌ Over 4 events",IF(AND(U4=4,NOT(OR(AND(S4=3,T4=1),AND(S4=1,T4=3)))),"⚠ Must be 3+1 or 1+3","✓ OK"))))</f>
        <v>✓ OK</v>
      </c>
    </row>
    <row r="5">
      <c r="A5" s="9" t="str">
        <f>IF(Roster!A4="","",Roster!A4)</f>
        <v>Cole Beaudry</v>
      </c>
      <c r="B5" s="10">
        <f>IF(Roster!B4="","",Roster!B4)</f>
        <v>7</v>
      </c>
      <c r="C5" s="10" t="str">
        <f>IF(Roster!C4="","",Roster!C4)</f>
        <v>M</v>
      </c>
      <c r="D5" s="21" t="s">
        <v>93</v>
      </c>
      <c r="E5" s="10"/>
      <c r="F5" s="10"/>
      <c r="G5" s="10"/>
      <c r="H5" s="21" t="s">
        <v>93</v>
      </c>
      <c r="I5" s="10"/>
      <c r="J5" s="21" t="s">
        <v>93</v>
      </c>
      <c r="K5" s="10"/>
      <c r="L5" s="10"/>
      <c r="M5" s="10"/>
      <c r="N5" s="21" t="s">
        <v>93</v>
      </c>
      <c r="O5" s="21"/>
      <c r="P5" s="10"/>
      <c r="Q5" s="10"/>
      <c r="R5" s="10"/>
      <c r="S5" s="22">
        <f t="shared" si="1"/>
        <v>3</v>
      </c>
      <c r="T5" s="22">
        <f t="shared" si="2"/>
        <v>1</v>
      </c>
      <c r="U5" s="22">
        <f t="shared" si="3"/>
        <v>4</v>
      </c>
      <c r="V5" s="22" t="str">
        <f t="shared" si="4"/>
        <v>✓ OK</v>
      </c>
    </row>
    <row r="6">
      <c r="A6" s="9" t="str">
        <f>IF(Roster!A5="","",Roster!A5)</f>
        <v>Althea Bortel Fielder</v>
      </c>
      <c r="B6" s="10">
        <f>IF(Roster!B5="","",Roster!B5)</f>
        <v>7</v>
      </c>
      <c r="C6" s="10" t="str">
        <f>IF(Roster!C5="","",Roster!C5)</f>
        <v>F</v>
      </c>
      <c r="D6" s="10"/>
      <c r="E6" s="10"/>
      <c r="F6" s="21" t="s">
        <v>95</v>
      </c>
      <c r="G6" s="10"/>
      <c r="H6" s="21" t="s">
        <v>95</v>
      </c>
      <c r="I6" s="10"/>
      <c r="J6" s="10"/>
      <c r="K6" s="21" t="s">
        <v>93</v>
      </c>
      <c r="L6" s="10"/>
      <c r="M6" s="10"/>
      <c r="N6" s="10"/>
      <c r="O6" s="10"/>
      <c r="P6" s="21" t="s">
        <v>93</v>
      </c>
      <c r="Q6" s="10"/>
      <c r="R6" s="10"/>
      <c r="S6" s="22">
        <f t="shared" si="1"/>
        <v>3</v>
      </c>
      <c r="T6" s="22">
        <f t="shared" si="2"/>
        <v>1</v>
      </c>
      <c r="U6" s="22">
        <f t="shared" si="3"/>
        <v>4</v>
      </c>
      <c r="V6" s="22" t="str">
        <f t="shared" si="4"/>
        <v>✓ OK</v>
      </c>
    </row>
    <row r="7">
      <c r="A7" s="9" t="str">
        <f>IF(Roster!A6="","",Roster!A6)</f>
        <v>Keva Bowron</v>
      </c>
      <c r="B7" s="10">
        <f>IF(Roster!B6="","",Roster!B6)</f>
        <v>7</v>
      </c>
      <c r="C7" s="10" t="str">
        <f>IF(Roster!C6="","",Roster!C6)</f>
        <v>F</v>
      </c>
      <c r="D7" s="21" t="s">
        <v>93</v>
      </c>
      <c r="E7" s="10"/>
      <c r="F7" s="21" t="s">
        <v>95</v>
      </c>
      <c r="G7" s="10"/>
      <c r="H7" s="21" t="s">
        <v>95</v>
      </c>
      <c r="I7" s="10"/>
      <c r="J7" s="10"/>
      <c r="K7" s="21"/>
      <c r="L7" s="10"/>
      <c r="M7" s="10"/>
      <c r="N7" s="10"/>
      <c r="O7" s="10"/>
      <c r="P7" s="10"/>
      <c r="Q7" s="10"/>
      <c r="R7" s="10"/>
      <c r="S7" s="22">
        <f t="shared" si="1"/>
        <v>3</v>
      </c>
      <c r="T7" s="22">
        <f t="shared" si="2"/>
        <v>0</v>
      </c>
      <c r="U7" s="22">
        <f t="shared" si="3"/>
        <v>3</v>
      </c>
      <c r="V7" s="22" t="str">
        <f t="shared" si="4"/>
        <v>✓ OK</v>
      </c>
    </row>
    <row r="8">
      <c r="A8" s="9" t="str">
        <f>IF(Roster!A7="","",Roster!A7)</f>
        <v>Liam Bursell</v>
      </c>
      <c r="B8" s="10">
        <f>IF(Roster!B7="","",Roster!B7)</f>
        <v>7</v>
      </c>
      <c r="C8" s="10" t="str">
        <f>IF(Roster!C7="","",Roster!C7)</f>
        <v>M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22">
        <f t="shared" si="1"/>
        <v>0</v>
      </c>
      <c r="T8" s="22">
        <f t="shared" si="2"/>
        <v>0</v>
      </c>
      <c r="U8" s="22">
        <f t="shared" si="3"/>
        <v>0</v>
      </c>
      <c r="V8" s="22" t="str">
        <f t="shared" si="4"/>
        <v/>
      </c>
    </row>
    <row r="9">
      <c r="A9" s="9" t="str">
        <f>IF(Roster!A8="","",Roster!A8)</f>
        <v>Mila Bursell</v>
      </c>
      <c r="B9" s="10">
        <f>IF(Roster!B8="","",Roster!B8)</f>
        <v>7</v>
      </c>
      <c r="C9" s="10" t="str">
        <f>IF(Roster!C8="","",Roster!C8)</f>
        <v>F</v>
      </c>
      <c r="D9" s="10"/>
      <c r="E9" s="10"/>
      <c r="F9" s="10"/>
      <c r="G9" s="10"/>
      <c r="H9" s="10"/>
      <c r="I9" s="10"/>
      <c r="J9" s="21" t="s">
        <v>93</v>
      </c>
      <c r="K9" s="10"/>
      <c r="L9" s="10"/>
      <c r="M9" s="10"/>
      <c r="N9" s="10"/>
      <c r="O9" s="10"/>
      <c r="P9" s="21" t="s">
        <v>93</v>
      </c>
      <c r="Q9" s="10"/>
      <c r="R9" s="10"/>
      <c r="S9" s="22">
        <f t="shared" si="1"/>
        <v>1</v>
      </c>
      <c r="T9" s="22">
        <f t="shared" si="2"/>
        <v>1</v>
      </c>
      <c r="U9" s="22">
        <f t="shared" si="3"/>
        <v>2</v>
      </c>
      <c r="V9" s="22" t="str">
        <f t="shared" si="4"/>
        <v>✓ OK</v>
      </c>
    </row>
    <row r="10">
      <c r="A10" s="9" t="str">
        <f>IF(Roster!A9="","",Roster!A9)</f>
        <v>Grayson Chon</v>
      </c>
      <c r="B10" s="10">
        <f>IF(Roster!B9="","",Roster!B9)</f>
        <v>7</v>
      </c>
      <c r="C10" s="10" t="str">
        <f>IF(Roster!C9="","",Roster!C9)</f>
        <v>M</v>
      </c>
      <c r="D10" s="10"/>
      <c r="E10" s="10"/>
      <c r="F10" s="10"/>
      <c r="G10" s="10"/>
      <c r="H10" s="10"/>
      <c r="I10" s="10"/>
      <c r="J10" s="21" t="s">
        <v>93</v>
      </c>
      <c r="K10" s="10"/>
      <c r="L10" s="10"/>
      <c r="M10" s="10"/>
      <c r="N10" s="21" t="s">
        <v>93</v>
      </c>
      <c r="O10" s="21"/>
      <c r="P10" s="10"/>
      <c r="Q10" s="10"/>
      <c r="R10" s="10"/>
      <c r="S10" s="22">
        <f t="shared" si="1"/>
        <v>1</v>
      </c>
      <c r="T10" s="22">
        <f t="shared" si="2"/>
        <v>1</v>
      </c>
      <c r="U10" s="22">
        <f t="shared" si="3"/>
        <v>2</v>
      </c>
      <c r="V10" s="22" t="str">
        <f t="shared" si="4"/>
        <v>✓ OK</v>
      </c>
    </row>
    <row r="11">
      <c r="A11" s="9" t="str">
        <f>IF(Roster!A10="","",Roster!A10)</f>
        <v>Cooper Coblentz</v>
      </c>
      <c r="B11" s="10">
        <f>IF(Roster!B10="","",Roster!B10)</f>
        <v>8</v>
      </c>
      <c r="C11" s="10" t="str">
        <f>IF(Roster!C10="","",Roster!C10)</f>
        <v>M</v>
      </c>
      <c r="D11" s="10"/>
      <c r="E11" s="21" t="s">
        <v>93</v>
      </c>
      <c r="F11" s="10"/>
      <c r="G11" s="10"/>
      <c r="H11" s="10"/>
      <c r="I11" s="21" t="s">
        <v>93</v>
      </c>
      <c r="J11" s="10"/>
      <c r="K11" s="10"/>
      <c r="L11" s="21" t="s">
        <v>93</v>
      </c>
      <c r="M11" s="10"/>
      <c r="N11" s="21" t="s">
        <v>93</v>
      </c>
      <c r="O11" s="21"/>
      <c r="P11" s="10"/>
      <c r="Q11" s="10"/>
      <c r="R11" s="10"/>
      <c r="S11" s="22">
        <f t="shared" si="1"/>
        <v>3</v>
      </c>
      <c r="T11" s="22">
        <f t="shared" si="2"/>
        <v>1</v>
      </c>
      <c r="U11" s="22">
        <f t="shared" si="3"/>
        <v>4</v>
      </c>
      <c r="V11" s="22" t="str">
        <f t="shared" si="4"/>
        <v>✓ OK</v>
      </c>
    </row>
    <row r="12">
      <c r="A12" s="9" t="str">
        <f>IF(Roster!A11="","",Roster!A11)</f>
        <v>Hudson Coblentz</v>
      </c>
      <c r="B12" s="10">
        <f>IF(Roster!B11="","",Roster!B11)</f>
        <v>8</v>
      </c>
      <c r="C12" s="10" t="str">
        <f>IF(Roster!C11="","",Roster!C11)</f>
        <v>M</v>
      </c>
      <c r="D12" s="10"/>
      <c r="E12" s="21" t="s">
        <v>93</v>
      </c>
      <c r="F12" s="10"/>
      <c r="G12" s="10"/>
      <c r="H12" s="21" t="s">
        <v>93</v>
      </c>
      <c r="I12" s="10"/>
      <c r="J12" s="10"/>
      <c r="K12" s="21" t="s">
        <v>93</v>
      </c>
      <c r="L12" s="10"/>
      <c r="M12" s="10"/>
      <c r="N12" s="10"/>
      <c r="O12" s="10"/>
      <c r="P12" s="21" t="s">
        <v>93</v>
      </c>
      <c r="Q12" s="10"/>
      <c r="R12" s="10"/>
      <c r="S12" s="22">
        <f t="shared" si="1"/>
        <v>3</v>
      </c>
      <c r="T12" s="22">
        <f t="shared" si="2"/>
        <v>1</v>
      </c>
      <c r="U12" s="22">
        <f t="shared" si="3"/>
        <v>4</v>
      </c>
      <c r="V12" s="22" t="str">
        <f t="shared" si="4"/>
        <v>✓ OK</v>
      </c>
    </row>
    <row r="13">
      <c r="A13" s="9" t="str">
        <f>IF(Roster!A12="","",Roster!A12)</f>
        <v>Nathan Coblentz</v>
      </c>
      <c r="B13" s="10">
        <f>IF(Roster!B12="","",Roster!B12)</f>
        <v>8</v>
      </c>
      <c r="C13" s="10" t="str">
        <f>IF(Roster!C12="","",Roster!C12)</f>
        <v>M</v>
      </c>
      <c r="D13" s="10"/>
      <c r="E13" s="21" t="s">
        <v>93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22">
        <f t="shared" si="1"/>
        <v>1</v>
      </c>
      <c r="T13" s="22">
        <f t="shared" si="2"/>
        <v>0</v>
      </c>
      <c r="U13" s="22">
        <f t="shared" si="3"/>
        <v>1</v>
      </c>
      <c r="V13" s="22" t="str">
        <f t="shared" si="4"/>
        <v>✓ OK</v>
      </c>
    </row>
    <row r="14">
      <c r="A14" s="9" t="str">
        <f>IF(Roster!A13="","",Roster!A13)</f>
        <v>Addis Demere</v>
      </c>
      <c r="B14" s="10">
        <f>IF(Roster!B13="","",Roster!B13)</f>
        <v>8</v>
      </c>
      <c r="C14" s="10" t="str">
        <f>IF(Roster!C13="","",Roster!C13)</f>
        <v>M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22">
        <f t="shared" si="1"/>
        <v>0</v>
      </c>
      <c r="T14" s="22">
        <f t="shared" si="2"/>
        <v>0</v>
      </c>
      <c r="U14" s="22">
        <f t="shared" si="3"/>
        <v>0</v>
      </c>
      <c r="V14" s="22" t="str">
        <f t="shared" si="4"/>
        <v/>
      </c>
    </row>
    <row r="15">
      <c r="A15" s="9" t="str">
        <f>IF(Roster!A14="","",Roster!A14)</f>
        <v>Kai Dinger</v>
      </c>
      <c r="B15" s="10">
        <f>IF(Roster!B14="","",Roster!B14)</f>
        <v>7</v>
      </c>
      <c r="C15" s="10" t="str">
        <f>IF(Roster!C14="","",Roster!C14)</f>
        <v>M</v>
      </c>
      <c r="D15" s="10"/>
      <c r="E15" s="21" t="s">
        <v>93</v>
      </c>
      <c r="F15" s="10"/>
      <c r="G15" s="10"/>
      <c r="H15" s="21" t="s">
        <v>93</v>
      </c>
      <c r="I15" s="10"/>
      <c r="J15" s="10"/>
      <c r="K15" s="21" t="s">
        <v>93</v>
      </c>
      <c r="L15" s="10"/>
      <c r="M15" s="10"/>
      <c r="N15" s="21" t="s">
        <v>93</v>
      </c>
      <c r="O15" s="10"/>
      <c r="P15" s="10"/>
      <c r="Q15" s="10"/>
      <c r="R15" s="10"/>
      <c r="S15" s="22">
        <f t="shared" si="1"/>
        <v>3</v>
      </c>
      <c r="T15" s="22">
        <f t="shared" si="2"/>
        <v>1</v>
      </c>
      <c r="U15" s="22">
        <f t="shared" si="3"/>
        <v>4</v>
      </c>
      <c r="V15" s="22" t="str">
        <f t="shared" si="4"/>
        <v>✓ OK</v>
      </c>
    </row>
    <row r="16">
      <c r="A16" s="9" t="str">
        <f>IF(Roster!A15="","",Roster!A15)</f>
        <v>Alexandra Ebinger</v>
      </c>
      <c r="B16" s="10">
        <f>IF(Roster!B15="","",Roster!B15)</f>
        <v>6</v>
      </c>
      <c r="C16" s="10" t="str">
        <f>IF(Roster!C15="","",Roster!C15)</f>
        <v>F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22">
        <f t="shared" si="1"/>
        <v>0</v>
      </c>
      <c r="T16" s="22">
        <f t="shared" si="2"/>
        <v>0</v>
      </c>
      <c r="U16" s="22">
        <f t="shared" si="3"/>
        <v>0</v>
      </c>
      <c r="V16" s="22" t="str">
        <f t="shared" si="4"/>
        <v/>
      </c>
      <c r="W16" s="23" t="s">
        <v>96</v>
      </c>
    </row>
    <row r="17">
      <c r="A17" s="9" t="str">
        <f>IF(Roster!A16="","",Roster!A16)</f>
        <v>Cora Ebinger</v>
      </c>
      <c r="B17" s="10">
        <f>IF(Roster!B16="","",Roster!B16)</f>
        <v>8</v>
      </c>
      <c r="C17" s="10" t="str">
        <f>IF(Roster!C16="","",Roster!C16)</f>
        <v>F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21" t="s">
        <v>93</v>
      </c>
      <c r="Q17" s="10"/>
      <c r="R17" s="10"/>
      <c r="S17" s="22">
        <f t="shared" si="1"/>
        <v>0</v>
      </c>
      <c r="T17" s="22">
        <f t="shared" si="2"/>
        <v>1</v>
      </c>
      <c r="U17" s="22">
        <f t="shared" si="3"/>
        <v>1</v>
      </c>
      <c r="V17" s="22" t="str">
        <f t="shared" si="4"/>
        <v>✓ OK</v>
      </c>
    </row>
    <row r="18">
      <c r="A18" s="9" t="str">
        <f>IF(Roster!A17="","",Roster!A17)</f>
        <v>Elyse Folbrecht</v>
      </c>
      <c r="B18" s="10">
        <f>IF(Roster!B17="","",Roster!B17)</f>
        <v>6</v>
      </c>
      <c r="C18" s="10" t="str">
        <f>IF(Roster!C17="","",Roster!C17)</f>
        <v>F</v>
      </c>
      <c r="D18" s="10"/>
      <c r="E18" s="10"/>
      <c r="F18" s="10"/>
      <c r="G18" s="10"/>
      <c r="H18" s="21" t="s">
        <v>97</v>
      </c>
      <c r="I18" s="10"/>
      <c r="J18" s="10"/>
      <c r="K18" s="10"/>
      <c r="L18" s="10"/>
      <c r="M18" s="21" t="s">
        <v>93</v>
      </c>
      <c r="N18" s="21" t="s">
        <v>93</v>
      </c>
      <c r="O18" s="21"/>
      <c r="P18" s="10"/>
      <c r="Q18" s="10"/>
      <c r="R18" s="10"/>
      <c r="S18" s="22">
        <f t="shared" si="1"/>
        <v>1</v>
      </c>
      <c r="T18" s="22">
        <f t="shared" si="2"/>
        <v>2</v>
      </c>
      <c r="U18" s="22">
        <f t="shared" si="3"/>
        <v>3</v>
      </c>
      <c r="V18" s="22" t="str">
        <f t="shared" si="4"/>
        <v>✓ OK</v>
      </c>
    </row>
    <row r="19">
      <c r="A19" s="9" t="str">
        <f>IF(Roster!A18="","",Roster!A18)</f>
        <v>Remy Fortin</v>
      </c>
      <c r="B19" s="10">
        <f>IF(Roster!B18="","",Roster!B18)</f>
        <v>7</v>
      </c>
      <c r="C19" s="10" t="str">
        <f>IF(Roster!C18="","",Roster!C18)</f>
        <v>M</v>
      </c>
      <c r="D19" s="10"/>
      <c r="E19" s="21" t="s">
        <v>93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21" t="s">
        <v>93</v>
      </c>
      <c r="Q19" s="10"/>
      <c r="R19" s="10"/>
      <c r="S19" s="22">
        <f t="shared" si="1"/>
        <v>1</v>
      </c>
      <c r="T19" s="22">
        <f t="shared" si="2"/>
        <v>1</v>
      </c>
      <c r="U19" s="22">
        <f t="shared" si="3"/>
        <v>2</v>
      </c>
      <c r="V19" s="22" t="str">
        <f t="shared" si="4"/>
        <v>✓ OK</v>
      </c>
    </row>
    <row r="20">
      <c r="A20" s="9" t="str">
        <f>IF(Roster!A19="","",Roster!A19)</f>
        <v>Vienna Haas</v>
      </c>
      <c r="B20" s="10">
        <f>IF(Roster!B19="","",Roster!B19)</f>
        <v>7</v>
      </c>
      <c r="C20" s="10" t="str">
        <f>IF(Roster!C19="","",Roster!C19)</f>
        <v>F</v>
      </c>
      <c r="D20" s="21" t="s">
        <v>93</v>
      </c>
      <c r="E20" s="10"/>
      <c r="F20" s="21" t="s">
        <v>95</v>
      </c>
      <c r="G20" s="10"/>
      <c r="H20" s="21" t="s">
        <v>95</v>
      </c>
      <c r="I20" s="10"/>
      <c r="J20" s="10"/>
      <c r="K20" s="10"/>
      <c r="L20" s="10"/>
      <c r="M20" s="10"/>
      <c r="N20" s="21" t="s">
        <v>93</v>
      </c>
      <c r="O20" s="10"/>
      <c r="P20" s="10"/>
      <c r="Q20" s="10"/>
      <c r="R20" s="10"/>
      <c r="S20" s="22">
        <f t="shared" si="1"/>
        <v>3</v>
      </c>
      <c r="T20" s="22">
        <f t="shared" si="2"/>
        <v>1</v>
      </c>
      <c r="U20" s="22">
        <f t="shared" si="3"/>
        <v>4</v>
      </c>
      <c r="V20" s="22" t="str">
        <f t="shared" si="4"/>
        <v>✓ OK</v>
      </c>
    </row>
    <row r="21" ht="15.75" customHeight="1">
      <c r="A21" s="9" t="str">
        <f>IF(Roster!A20="","",Roster!A20)</f>
        <v>Aedan Herman</v>
      </c>
      <c r="B21" s="10">
        <f>IF(Roster!B20="","",Roster!B20)</f>
        <v>8</v>
      </c>
      <c r="C21" s="10" t="str">
        <f>IF(Roster!C20="","",Roster!C20)</f>
        <v>M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21" t="s">
        <v>93</v>
      </c>
      <c r="Q21" s="10"/>
      <c r="R21" s="10"/>
      <c r="S21" s="22">
        <f t="shared" si="1"/>
        <v>0</v>
      </c>
      <c r="T21" s="22">
        <f t="shared" si="2"/>
        <v>1</v>
      </c>
      <c r="U21" s="22">
        <f t="shared" si="3"/>
        <v>1</v>
      </c>
      <c r="V21" s="22" t="str">
        <f t="shared" si="4"/>
        <v>✓ OK</v>
      </c>
    </row>
    <row r="22" ht="15.75" customHeight="1">
      <c r="A22" s="9" t="str">
        <f>IF(Roster!A21="","",Roster!A21)</f>
        <v>Ben Hinrichs</v>
      </c>
      <c r="B22" s="10">
        <f>IF(Roster!B21="","",Roster!B21)</f>
        <v>8</v>
      </c>
      <c r="C22" s="10" t="str">
        <f>IF(Roster!C21="","",Roster!C21)</f>
        <v>M</v>
      </c>
      <c r="D22" s="10"/>
      <c r="E22" s="10"/>
      <c r="F22" s="10"/>
      <c r="G22" s="21" t="s">
        <v>93</v>
      </c>
      <c r="H22" s="10"/>
      <c r="I22" s="10"/>
      <c r="J22" s="21" t="s">
        <v>93</v>
      </c>
      <c r="K22" s="10"/>
      <c r="L22" s="10"/>
      <c r="M22" s="10"/>
      <c r="N22" s="10"/>
      <c r="O22" s="10"/>
      <c r="P22" s="10"/>
      <c r="Q22" s="10"/>
      <c r="R22" s="10"/>
      <c r="S22" s="22">
        <f t="shared" si="1"/>
        <v>2</v>
      </c>
      <c r="T22" s="22">
        <f t="shared" si="2"/>
        <v>0</v>
      </c>
      <c r="U22" s="22">
        <f t="shared" si="3"/>
        <v>2</v>
      </c>
      <c r="V22" s="22" t="str">
        <f t="shared" si="4"/>
        <v>✓ OK</v>
      </c>
    </row>
    <row r="23" ht="15.75" customHeight="1">
      <c r="A23" s="9" t="str">
        <f>IF(Roster!A22="","",Roster!A22)</f>
        <v>Sage Houdek</v>
      </c>
      <c r="B23" s="10">
        <f>IF(Roster!B22="","",Roster!B22)</f>
        <v>8</v>
      </c>
      <c r="C23" s="10" t="str">
        <f>IF(Roster!C22="","",Roster!C22)</f>
        <v>F</v>
      </c>
      <c r="D23" s="10"/>
      <c r="E23" s="10"/>
      <c r="F23" s="10"/>
      <c r="G23" s="10"/>
      <c r="H23" s="21" t="s">
        <v>93</v>
      </c>
      <c r="I23" s="10"/>
      <c r="J23" s="10"/>
      <c r="K23" s="21" t="s">
        <v>93</v>
      </c>
      <c r="L23" s="10"/>
      <c r="M23" s="10"/>
      <c r="N23" s="10"/>
      <c r="O23" s="10"/>
      <c r="P23" s="21" t="s">
        <v>93</v>
      </c>
      <c r="Q23" s="10"/>
      <c r="R23" s="10"/>
      <c r="S23" s="22">
        <f t="shared" si="1"/>
        <v>2</v>
      </c>
      <c r="T23" s="22">
        <f t="shared" si="2"/>
        <v>1</v>
      </c>
      <c r="U23" s="22">
        <f t="shared" si="3"/>
        <v>3</v>
      </c>
      <c r="V23" s="22" t="str">
        <f t="shared" si="4"/>
        <v>✓ OK</v>
      </c>
    </row>
    <row r="24" ht="15.75" customHeight="1">
      <c r="A24" s="9" t="str">
        <f>IF(Roster!A23="","",Roster!A23)</f>
        <v>Ari Klapperich-Khuu</v>
      </c>
      <c r="B24" s="10">
        <f>IF(Roster!B23="","",Roster!B23)</f>
        <v>7</v>
      </c>
      <c r="C24" s="10" t="str">
        <f>IF(Roster!C23="","",Roster!C23)</f>
        <v>M</v>
      </c>
      <c r="D24" s="21" t="s">
        <v>93</v>
      </c>
      <c r="E24" s="21" t="s">
        <v>93</v>
      </c>
      <c r="F24" s="10"/>
      <c r="G24" s="10"/>
      <c r="H24" s="21" t="s">
        <v>93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22">
        <f t="shared" si="1"/>
        <v>3</v>
      </c>
      <c r="T24" s="22">
        <f t="shared" si="2"/>
        <v>0</v>
      </c>
      <c r="U24" s="22">
        <f t="shared" si="3"/>
        <v>3</v>
      </c>
      <c r="V24" s="22" t="str">
        <f t="shared" si="4"/>
        <v>✓ OK</v>
      </c>
    </row>
    <row r="25" ht="15.75" customHeight="1">
      <c r="A25" s="9" t="str">
        <f>IF(Roster!A24="","",Roster!A24)</f>
        <v>Marcus Kunc</v>
      </c>
      <c r="B25" s="10">
        <f>IF(Roster!B24="","",Roster!B24)</f>
        <v>6</v>
      </c>
      <c r="C25" s="10" t="str">
        <f>IF(Roster!C24="","",Roster!C24)</f>
        <v>M</v>
      </c>
      <c r="D25" s="10"/>
      <c r="E25" s="21" t="s">
        <v>93</v>
      </c>
      <c r="F25" s="21" t="s">
        <v>94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22">
        <f t="shared" si="1"/>
        <v>2</v>
      </c>
      <c r="T25" s="22">
        <f t="shared" si="2"/>
        <v>0</v>
      </c>
      <c r="U25" s="22">
        <f t="shared" si="3"/>
        <v>2</v>
      </c>
      <c r="V25" s="22" t="str">
        <f t="shared" si="4"/>
        <v>✓ OK</v>
      </c>
    </row>
    <row r="26" ht="15.75" customHeight="1">
      <c r="A26" s="9" t="str">
        <f>IF(Roster!A25="","",Roster!A25)</f>
        <v>Mattias Kunc</v>
      </c>
      <c r="B26" s="10">
        <f>IF(Roster!B25="","",Roster!B25)</f>
        <v>8</v>
      </c>
      <c r="C26" s="10" t="str">
        <f>IF(Roster!C25="","",Roster!C25)</f>
        <v>M</v>
      </c>
      <c r="D26" s="10"/>
      <c r="E26" s="10"/>
      <c r="F26" s="10"/>
      <c r="G26" s="21" t="s">
        <v>93</v>
      </c>
      <c r="H26" s="10"/>
      <c r="I26" s="10"/>
      <c r="J26" s="21"/>
      <c r="K26" s="21"/>
      <c r="L26" s="10"/>
      <c r="M26" s="10"/>
      <c r="N26" s="21" t="s">
        <v>93</v>
      </c>
      <c r="O26" s="21"/>
      <c r="P26" s="21" t="s">
        <v>93</v>
      </c>
      <c r="Q26" s="10"/>
      <c r="R26" s="10"/>
      <c r="S26" s="22">
        <f t="shared" si="1"/>
        <v>1</v>
      </c>
      <c r="T26" s="22">
        <f t="shared" si="2"/>
        <v>2</v>
      </c>
      <c r="U26" s="22">
        <f t="shared" si="3"/>
        <v>3</v>
      </c>
      <c r="V26" s="22" t="str">
        <f t="shared" si="4"/>
        <v>✓ OK</v>
      </c>
    </row>
    <row r="27" ht="15.75" customHeight="1">
      <c r="A27" s="9" t="str">
        <f>IF(Roster!A26="","",Roster!A26)</f>
        <v>Perrin Light-Haberstroh</v>
      </c>
      <c r="B27" s="10">
        <f>IF(Roster!B26="","",Roster!B26)</f>
        <v>6</v>
      </c>
      <c r="C27" s="10" t="str">
        <f>IF(Roster!C26="","",Roster!C26)</f>
        <v>F</v>
      </c>
      <c r="D27" s="10"/>
      <c r="E27" s="21" t="s">
        <v>93</v>
      </c>
      <c r="F27" s="10"/>
      <c r="G27" s="10"/>
      <c r="H27" s="21" t="s">
        <v>94</v>
      </c>
      <c r="I27" s="10"/>
      <c r="J27" s="10"/>
      <c r="K27" s="21" t="s">
        <v>93</v>
      </c>
      <c r="L27" s="10"/>
      <c r="M27" s="10"/>
      <c r="N27" s="10"/>
      <c r="O27" s="10"/>
      <c r="P27" s="21" t="s">
        <v>93</v>
      </c>
      <c r="Q27" s="10"/>
      <c r="R27" s="10"/>
      <c r="S27" s="22">
        <f t="shared" si="1"/>
        <v>3</v>
      </c>
      <c r="T27" s="22">
        <f t="shared" si="2"/>
        <v>1</v>
      </c>
      <c r="U27" s="22">
        <f t="shared" si="3"/>
        <v>4</v>
      </c>
      <c r="V27" s="22" t="str">
        <f t="shared" si="4"/>
        <v>✓ OK</v>
      </c>
    </row>
    <row r="28" ht="15.75" customHeight="1">
      <c r="A28" s="9" t="str">
        <f>IF(Roster!A27="","",Roster!A27)</f>
        <v>Devin Lindquist</v>
      </c>
      <c r="B28" s="10">
        <f>IF(Roster!B27="","",Roster!B27)</f>
        <v>6</v>
      </c>
      <c r="C28" s="10" t="str">
        <f>IF(Roster!C27="","",Roster!C27)</f>
        <v>M</v>
      </c>
      <c r="D28" s="10"/>
      <c r="E28" s="21" t="s">
        <v>93</v>
      </c>
      <c r="F28" s="21" t="s">
        <v>94</v>
      </c>
      <c r="G28" s="10"/>
      <c r="H28" s="21"/>
      <c r="I28" s="21" t="s">
        <v>93</v>
      </c>
      <c r="J28" s="10"/>
      <c r="K28" s="10"/>
      <c r="L28" s="10"/>
      <c r="M28" s="10"/>
      <c r="N28" s="21" t="s">
        <v>93</v>
      </c>
      <c r="O28" s="21"/>
      <c r="P28" s="10"/>
      <c r="Q28" s="10"/>
      <c r="R28" s="10"/>
      <c r="S28" s="22">
        <f t="shared" si="1"/>
        <v>3</v>
      </c>
      <c r="T28" s="22">
        <f t="shared" si="2"/>
        <v>1</v>
      </c>
      <c r="U28" s="22">
        <f t="shared" si="3"/>
        <v>4</v>
      </c>
      <c r="V28" s="22" t="str">
        <f t="shared" si="4"/>
        <v>✓ OK</v>
      </c>
    </row>
    <row r="29" ht="15.75" customHeight="1">
      <c r="A29" s="9" t="str">
        <f>IF(Roster!A28="","",Roster!A28)</f>
        <v>Gabriel Nowariak</v>
      </c>
      <c r="B29" s="10">
        <f>IF(Roster!B28="","",Roster!B28)</f>
        <v>6</v>
      </c>
      <c r="C29" s="10" t="str">
        <f>IF(Roster!C28="","",Roster!C28)</f>
        <v>M</v>
      </c>
      <c r="D29" s="10"/>
      <c r="E29" s="10"/>
      <c r="F29" s="21" t="s">
        <v>94</v>
      </c>
      <c r="G29" s="21" t="s">
        <v>93</v>
      </c>
      <c r="H29" s="10"/>
      <c r="I29" s="10"/>
      <c r="J29" s="10"/>
      <c r="K29" s="10"/>
      <c r="L29" s="10"/>
      <c r="M29" s="10"/>
      <c r="N29" s="21" t="s">
        <v>93</v>
      </c>
      <c r="O29" s="21"/>
      <c r="P29" s="21" t="s">
        <v>93</v>
      </c>
      <c r="Q29" s="10"/>
      <c r="R29" s="10"/>
      <c r="S29" s="22">
        <f t="shared" si="1"/>
        <v>2</v>
      </c>
      <c r="T29" s="22">
        <f t="shared" si="2"/>
        <v>2</v>
      </c>
      <c r="U29" s="22">
        <f t="shared" si="3"/>
        <v>4</v>
      </c>
      <c r="V29" s="22" t="str">
        <f t="shared" si="4"/>
        <v>⚠ Must be 3+1 or 1+3</v>
      </c>
    </row>
    <row r="30" ht="15.75" customHeight="1">
      <c r="A30" s="9" t="str">
        <f>IF(Roster!A29="","",Roster!A29)</f>
        <v>Annika Peterson</v>
      </c>
      <c r="B30" s="10">
        <f>IF(Roster!B29="","",Roster!B29)</f>
        <v>7</v>
      </c>
      <c r="C30" s="10" t="str">
        <f>IF(Roster!C29="","",Roster!C29)</f>
        <v>F</v>
      </c>
      <c r="D30" s="10"/>
      <c r="E30" s="10"/>
      <c r="F30" s="21" t="s">
        <v>95</v>
      </c>
      <c r="G30" s="10"/>
      <c r="H30" s="21" t="s">
        <v>95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22">
        <f t="shared" si="1"/>
        <v>2</v>
      </c>
      <c r="T30" s="22">
        <f t="shared" si="2"/>
        <v>0</v>
      </c>
      <c r="U30" s="22">
        <f t="shared" si="3"/>
        <v>2</v>
      </c>
      <c r="V30" s="22" t="str">
        <f t="shared" si="4"/>
        <v>✓ OK</v>
      </c>
    </row>
    <row r="31" ht="15.75" customHeight="1">
      <c r="A31" s="9" t="str">
        <f>IF(Roster!A30="","",Roster!A30)</f>
        <v>Cailee Pham</v>
      </c>
      <c r="B31" s="10">
        <f>IF(Roster!B30="","",Roster!B30)</f>
        <v>8</v>
      </c>
      <c r="C31" s="10" t="str">
        <f>IF(Roster!C30="","",Roster!C30)</f>
        <v>F</v>
      </c>
      <c r="D31" s="10"/>
      <c r="E31" s="21" t="s">
        <v>93</v>
      </c>
      <c r="F31" s="10"/>
      <c r="G31" s="10"/>
      <c r="H31" s="21" t="s">
        <v>93</v>
      </c>
      <c r="I31" s="21"/>
      <c r="J31" s="10"/>
      <c r="K31" s="21" t="s">
        <v>93</v>
      </c>
      <c r="L31" s="10"/>
      <c r="M31" s="10"/>
      <c r="N31" s="10"/>
      <c r="O31" s="10"/>
      <c r="P31" s="21" t="s">
        <v>93</v>
      </c>
      <c r="Q31" s="10"/>
      <c r="R31" s="10"/>
      <c r="S31" s="22">
        <f t="shared" si="1"/>
        <v>3</v>
      </c>
      <c r="T31" s="22">
        <f t="shared" si="2"/>
        <v>1</v>
      </c>
      <c r="U31" s="22">
        <f t="shared" si="3"/>
        <v>4</v>
      </c>
      <c r="V31" s="22" t="str">
        <f t="shared" si="4"/>
        <v>✓ OK</v>
      </c>
    </row>
    <row r="32" ht="15.75" customHeight="1">
      <c r="A32" s="9" t="str">
        <f>IF(Roster!A31="","",Roster!A31)</f>
        <v>Amelia Roddy</v>
      </c>
      <c r="B32" s="10">
        <f>IF(Roster!B31="","",Roster!B31)</f>
        <v>6</v>
      </c>
      <c r="C32" s="10" t="str">
        <f>IF(Roster!C31="","",Roster!C31)</f>
        <v>F</v>
      </c>
      <c r="D32" s="10"/>
      <c r="E32" s="10"/>
      <c r="F32" s="10"/>
      <c r="G32" s="21" t="s">
        <v>93</v>
      </c>
      <c r="H32" s="21" t="s">
        <v>97</v>
      </c>
      <c r="I32" s="10"/>
      <c r="J32" s="21" t="s">
        <v>93</v>
      </c>
      <c r="K32" s="10"/>
      <c r="L32" s="10"/>
      <c r="M32" s="10"/>
      <c r="N32" s="10"/>
      <c r="O32" s="10"/>
      <c r="P32" s="21" t="s">
        <v>93</v>
      </c>
      <c r="Q32" s="10"/>
      <c r="R32" s="10"/>
      <c r="S32" s="22">
        <f t="shared" si="1"/>
        <v>3</v>
      </c>
      <c r="T32" s="22">
        <f t="shared" si="2"/>
        <v>1</v>
      </c>
      <c r="U32" s="22">
        <f t="shared" si="3"/>
        <v>4</v>
      </c>
      <c r="V32" s="22" t="str">
        <f t="shared" si="4"/>
        <v>✓ OK</v>
      </c>
    </row>
    <row r="33" ht="15.75" customHeight="1">
      <c r="A33" s="9" t="str">
        <f>IF(Roster!A32="","",Roster!A32)</f>
        <v>Audrey Roffe</v>
      </c>
      <c r="B33" s="10">
        <f>IF(Roster!B32="","",Roster!B32)</f>
        <v>7</v>
      </c>
      <c r="C33" s="10" t="str">
        <f>IF(Roster!C32="","",Roster!C32)</f>
        <v>F</v>
      </c>
      <c r="D33" s="10"/>
      <c r="E33" s="10"/>
      <c r="F33" s="10"/>
      <c r="G33" s="21" t="s">
        <v>93</v>
      </c>
      <c r="H33" s="21" t="s">
        <v>93</v>
      </c>
      <c r="I33" s="10"/>
      <c r="J33" s="10"/>
      <c r="K33" s="10"/>
      <c r="L33" s="10"/>
      <c r="M33" s="10"/>
      <c r="N33" s="10"/>
      <c r="O33" s="10"/>
      <c r="P33" s="21" t="s">
        <v>93</v>
      </c>
      <c r="Q33" s="10"/>
      <c r="R33" s="10"/>
      <c r="S33" s="22">
        <f t="shared" si="1"/>
        <v>2</v>
      </c>
      <c r="T33" s="22">
        <f t="shared" si="2"/>
        <v>1</v>
      </c>
      <c r="U33" s="22">
        <f t="shared" si="3"/>
        <v>3</v>
      </c>
      <c r="V33" s="22" t="str">
        <f t="shared" si="4"/>
        <v>✓ OK</v>
      </c>
    </row>
    <row r="34" ht="15.75" customHeight="1">
      <c r="A34" s="9" t="str">
        <f>IF(Roster!A33="","",Roster!A33)</f>
        <v>Louis Ryan</v>
      </c>
      <c r="B34" s="10">
        <f>IF(Roster!B33="","",Roster!B33)</f>
        <v>7</v>
      </c>
      <c r="C34" s="10" t="str">
        <f>IF(Roster!C33="","",Roster!C33)</f>
        <v>M</v>
      </c>
      <c r="D34" s="10"/>
      <c r="E34" s="21" t="s">
        <v>93</v>
      </c>
      <c r="F34" s="10"/>
      <c r="G34" s="10"/>
      <c r="H34" s="10"/>
      <c r="I34" s="10"/>
      <c r="J34" s="10"/>
      <c r="K34" s="10"/>
      <c r="L34" s="10"/>
      <c r="M34" s="21" t="s">
        <v>93</v>
      </c>
      <c r="N34" s="10"/>
      <c r="O34" s="10"/>
      <c r="P34" s="10"/>
      <c r="Q34" s="10"/>
      <c r="R34" s="10"/>
      <c r="S34" s="22">
        <f t="shared" si="1"/>
        <v>1</v>
      </c>
      <c r="T34" s="22">
        <f t="shared" si="2"/>
        <v>1</v>
      </c>
      <c r="U34" s="22">
        <f t="shared" si="3"/>
        <v>2</v>
      </c>
      <c r="V34" s="22" t="str">
        <f t="shared" si="4"/>
        <v>✓ OK</v>
      </c>
    </row>
    <row r="35" ht="15.75" customHeight="1">
      <c r="A35" s="9" t="str">
        <f>IF(Roster!A34="","",Roster!A34)</f>
        <v>Arya Sanaka</v>
      </c>
      <c r="B35" s="10">
        <f>IF(Roster!B34="","",Roster!B34)</f>
        <v>7</v>
      </c>
      <c r="C35" s="10" t="str">
        <f>IF(Roster!C34="","",Roster!C34)</f>
        <v>F</v>
      </c>
      <c r="D35" s="10"/>
      <c r="E35" s="21" t="s">
        <v>93</v>
      </c>
      <c r="F35" s="10"/>
      <c r="G35" s="10"/>
      <c r="H35" s="10"/>
      <c r="I35" s="10"/>
      <c r="J35" s="10"/>
      <c r="K35" s="21" t="s">
        <v>93</v>
      </c>
      <c r="L35" s="10"/>
      <c r="M35" s="10"/>
      <c r="N35" s="10"/>
      <c r="O35" s="10"/>
      <c r="P35" s="21" t="s">
        <v>93</v>
      </c>
      <c r="Q35" s="10"/>
      <c r="R35" s="21" t="s">
        <v>93</v>
      </c>
      <c r="S35" s="22">
        <f t="shared" si="1"/>
        <v>2</v>
      </c>
      <c r="T35" s="22">
        <f t="shared" si="2"/>
        <v>2</v>
      </c>
      <c r="U35" s="22">
        <f t="shared" si="3"/>
        <v>4</v>
      </c>
      <c r="V35" s="22" t="str">
        <f t="shared" si="4"/>
        <v>⚠ Must be 3+1 or 1+3</v>
      </c>
    </row>
    <row r="36" ht="15.75" customHeight="1">
      <c r="A36" s="24" t="str">
        <f>IF(Roster!A35="","",Roster!A35)</f>
        <v>Leo Shu</v>
      </c>
      <c r="B36" s="25">
        <f>IF(Roster!B35="","",Roster!B35)</f>
        <v>8</v>
      </c>
      <c r="C36" s="25" t="str">
        <f>IF(Roster!C35="","",Roster!C35)</f>
        <v>M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6">
        <f t="shared" si="1"/>
        <v>0</v>
      </c>
      <c r="T36" s="26">
        <f t="shared" si="2"/>
        <v>0</v>
      </c>
      <c r="U36" s="26">
        <f t="shared" si="3"/>
        <v>0</v>
      </c>
      <c r="V36" s="26" t="str">
        <f t="shared" si="4"/>
        <v/>
      </c>
      <c r="W36" s="27" t="s">
        <v>98</v>
      </c>
      <c r="X36" s="28"/>
      <c r="Y36" s="28"/>
      <c r="Z36" s="28"/>
      <c r="AA36" s="28"/>
    </row>
    <row r="37" ht="15.75" customHeight="1">
      <c r="A37" s="9" t="str">
        <f>IF(Roster!A36="","",Roster!A36)</f>
        <v>Ben Surla</v>
      </c>
      <c r="B37" s="10">
        <f>IF(Roster!B36="","",Roster!B36)</f>
        <v>7</v>
      </c>
      <c r="C37" s="10" t="str">
        <f>IF(Roster!C36="","",Roster!C36)</f>
        <v>M</v>
      </c>
      <c r="D37" s="10"/>
      <c r="E37" s="21" t="s">
        <v>93</v>
      </c>
      <c r="F37" s="10"/>
      <c r="G37" s="21" t="s">
        <v>93</v>
      </c>
      <c r="H37" s="21"/>
      <c r="I37" s="21"/>
      <c r="J37" s="21" t="s">
        <v>93</v>
      </c>
      <c r="K37" s="21"/>
      <c r="L37" s="10"/>
      <c r="M37" s="21"/>
      <c r="N37" s="10"/>
      <c r="O37" s="10"/>
      <c r="P37" s="10"/>
      <c r="Q37" s="10"/>
      <c r="R37" s="10"/>
      <c r="S37" s="22">
        <f t="shared" si="1"/>
        <v>3</v>
      </c>
      <c r="T37" s="22">
        <f t="shared" si="2"/>
        <v>0</v>
      </c>
      <c r="U37" s="22">
        <f t="shared" si="3"/>
        <v>3</v>
      </c>
      <c r="V37" s="22" t="str">
        <f t="shared" si="4"/>
        <v>✓ OK</v>
      </c>
    </row>
    <row r="38" ht="15.75" customHeight="1">
      <c r="A38" s="9" t="str">
        <f>IF(Roster!A37="","",Roster!A37)</f>
        <v>Jin Trenh</v>
      </c>
      <c r="B38" s="10">
        <f>IF(Roster!B37="","",Roster!B37)</f>
        <v>8</v>
      </c>
      <c r="C38" s="10" t="str">
        <f>IF(Roster!C37="","",Roster!C37)</f>
        <v>M</v>
      </c>
      <c r="D38" s="10"/>
      <c r="E38" s="21" t="s">
        <v>93</v>
      </c>
      <c r="F38" s="10"/>
      <c r="G38" s="10"/>
      <c r="H38" s="21" t="s">
        <v>93</v>
      </c>
      <c r="I38" s="10"/>
      <c r="J38" s="10"/>
      <c r="K38" s="21" t="s">
        <v>93</v>
      </c>
      <c r="L38" s="10"/>
      <c r="M38" s="10"/>
      <c r="N38" s="10"/>
      <c r="O38" s="10"/>
      <c r="P38" s="10"/>
      <c r="Q38" s="10"/>
      <c r="R38" s="10"/>
      <c r="S38" s="22">
        <f t="shared" si="1"/>
        <v>3</v>
      </c>
      <c r="T38" s="22">
        <f t="shared" si="2"/>
        <v>0</v>
      </c>
      <c r="U38" s="22">
        <f t="shared" si="3"/>
        <v>3</v>
      </c>
      <c r="V38" s="22" t="str">
        <f t="shared" si="4"/>
        <v>✓ OK</v>
      </c>
    </row>
    <row r="39" ht="15.75" customHeight="1">
      <c r="A39" s="24" t="str">
        <f>IF(Roster!A38="","",Roster!A38)</f>
        <v>Ethan Tschida</v>
      </c>
      <c r="B39" s="25">
        <f>IF(Roster!B38="","",Roster!B38)</f>
        <v>6</v>
      </c>
      <c r="C39" s="25" t="str">
        <f>IF(Roster!C38="","",Roster!C38)</f>
        <v>M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6">
        <f t="shared" si="1"/>
        <v>0</v>
      </c>
      <c r="T39" s="26">
        <f t="shared" si="2"/>
        <v>0</v>
      </c>
      <c r="U39" s="26">
        <f t="shared" si="3"/>
        <v>0</v>
      </c>
      <c r="V39" s="26" t="str">
        <f t="shared" si="4"/>
        <v/>
      </c>
      <c r="W39" s="27" t="s">
        <v>99</v>
      </c>
      <c r="X39" s="28"/>
      <c r="Y39" s="28"/>
      <c r="Z39" s="28"/>
      <c r="AA39" s="28"/>
    </row>
    <row r="40" ht="15.75" customHeight="1">
      <c r="A40" s="24" t="str">
        <f>IF(Roster!A39="","",Roster!A39)</f>
        <v>Isabel Tschida</v>
      </c>
      <c r="B40" s="25">
        <f>IF(Roster!B39="","",Roster!B39)</f>
        <v>8</v>
      </c>
      <c r="C40" s="25" t="str">
        <f>IF(Roster!C39="","",Roster!C39)</f>
        <v>F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6">
        <f t="shared" si="1"/>
        <v>0</v>
      </c>
      <c r="T40" s="26">
        <f t="shared" si="2"/>
        <v>0</v>
      </c>
      <c r="U40" s="26">
        <f t="shared" si="3"/>
        <v>0</v>
      </c>
      <c r="V40" s="26" t="str">
        <f t="shared" si="4"/>
        <v/>
      </c>
      <c r="W40" s="27" t="s">
        <v>99</v>
      </c>
      <c r="X40" s="28"/>
      <c r="Y40" s="28"/>
      <c r="Z40" s="28"/>
      <c r="AA40" s="28"/>
    </row>
    <row r="41" ht="15.75" customHeight="1">
      <c r="A41" s="9" t="str">
        <f>IF(Roster!A40="","",Roster!A40)</f>
        <v>Caleb Wilson</v>
      </c>
      <c r="B41" s="10">
        <f>IF(Roster!B40="","",Roster!B40)</f>
        <v>7</v>
      </c>
      <c r="C41" s="10" t="str">
        <f>IF(Roster!C40="","",Roster!C40)</f>
        <v>M</v>
      </c>
      <c r="D41" s="10"/>
      <c r="E41" s="21" t="s">
        <v>93</v>
      </c>
      <c r="F41" s="10"/>
      <c r="G41" s="10"/>
      <c r="H41" s="10"/>
      <c r="I41" s="10"/>
      <c r="J41" s="10"/>
      <c r="K41" s="21" t="s">
        <v>93</v>
      </c>
      <c r="L41" s="10"/>
      <c r="M41" s="10"/>
      <c r="N41" s="10"/>
      <c r="O41" s="10"/>
      <c r="P41" s="10"/>
      <c r="Q41" s="10"/>
      <c r="R41" s="10"/>
      <c r="S41" s="22">
        <f t="shared" si="1"/>
        <v>2</v>
      </c>
      <c r="T41" s="22">
        <f t="shared" si="2"/>
        <v>0</v>
      </c>
      <c r="U41" s="22">
        <f t="shared" si="3"/>
        <v>2</v>
      </c>
      <c r="V41" s="22" t="str">
        <f t="shared" si="4"/>
        <v>✓ OK</v>
      </c>
    </row>
    <row r="42" ht="15.75" customHeight="1">
      <c r="A42" s="9" t="str">
        <f>IF(Roster!A41="","",Roster!A41)</f>
        <v>Isaac Wilson</v>
      </c>
      <c r="B42" s="10">
        <f>IF(Roster!B41="","",Roster!B41)</f>
        <v>7</v>
      </c>
      <c r="C42" s="10" t="str">
        <f>IF(Roster!C41="","",Roster!C41)</f>
        <v>M</v>
      </c>
      <c r="D42" s="10"/>
      <c r="E42" s="21" t="s">
        <v>93</v>
      </c>
      <c r="F42" s="10"/>
      <c r="G42" s="10"/>
      <c r="H42" s="21" t="s">
        <v>93</v>
      </c>
      <c r="I42" s="10"/>
      <c r="J42" s="10"/>
      <c r="K42" s="21" t="s">
        <v>93</v>
      </c>
      <c r="L42" s="10"/>
      <c r="M42" s="10"/>
      <c r="N42" s="21" t="s">
        <v>93</v>
      </c>
      <c r="O42" s="10"/>
      <c r="P42" s="10"/>
      <c r="Q42" s="10"/>
      <c r="R42" s="10"/>
      <c r="S42" s="22">
        <f t="shared" si="1"/>
        <v>3</v>
      </c>
      <c r="T42" s="22">
        <f t="shared" si="2"/>
        <v>1</v>
      </c>
      <c r="U42" s="22">
        <f t="shared" si="3"/>
        <v>4</v>
      </c>
      <c r="V42" s="22" t="str">
        <f t="shared" si="4"/>
        <v>✓ OK</v>
      </c>
    </row>
    <row r="43" ht="15.75" customHeight="1">
      <c r="A43" s="9" t="str">
        <f>IF(Roster!A42="","",Roster!A42)</f>
        <v/>
      </c>
      <c r="B43" s="10" t="str">
        <f>IF(Roster!B42="","",Roster!B42)</f>
        <v/>
      </c>
      <c r="C43" s="10" t="str">
        <f>IF(Roster!C42="","",Roster!C42)</f>
        <v/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22" t="str">
        <f t="shared" si="1"/>
        <v/>
      </c>
      <c r="T43" s="22" t="str">
        <f t="shared" si="2"/>
        <v/>
      </c>
      <c r="U43" s="22" t="str">
        <f t="shared" si="3"/>
        <v/>
      </c>
      <c r="V43" s="22" t="str">
        <f t="shared" si="4"/>
        <v/>
      </c>
    </row>
    <row r="44" ht="15.75" customHeight="1">
      <c r="A44" s="9" t="str">
        <f>IF(Roster!A43="","",Roster!A43)</f>
        <v/>
      </c>
      <c r="B44" s="10" t="str">
        <f>IF(Roster!B43="","",Roster!B43)</f>
        <v/>
      </c>
      <c r="C44" s="10" t="str">
        <f>IF(Roster!C43="","",Roster!C43)</f>
        <v/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22" t="str">
        <f t="shared" si="1"/>
        <v/>
      </c>
      <c r="T44" s="22" t="str">
        <f t="shared" si="2"/>
        <v/>
      </c>
      <c r="U44" s="22" t="str">
        <f t="shared" si="3"/>
        <v/>
      </c>
      <c r="V44" s="22" t="str">
        <f t="shared" si="4"/>
        <v/>
      </c>
    </row>
    <row r="45" ht="15.75" customHeight="1">
      <c r="A45" s="9" t="str">
        <f>IF(Roster!A44="","",Roster!A44)</f>
        <v/>
      </c>
      <c r="B45" s="10" t="str">
        <f>IF(Roster!B44="","",Roster!B44)</f>
        <v/>
      </c>
      <c r="C45" s="10" t="str">
        <f>IF(Roster!C44="","",Roster!C44)</f>
        <v/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22" t="str">
        <f t="shared" si="1"/>
        <v/>
      </c>
      <c r="T45" s="22" t="str">
        <f t="shared" si="2"/>
        <v/>
      </c>
      <c r="U45" s="22" t="str">
        <f t="shared" si="3"/>
        <v/>
      </c>
      <c r="V45" s="22" t="str">
        <f t="shared" si="4"/>
        <v/>
      </c>
    </row>
    <row r="46" ht="15.75" customHeight="1">
      <c r="A46" s="9" t="str">
        <f>IF(Roster!A45="","",Roster!A45)</f>
        <v/>
      </c>
      <c r="B46" s="10" t="str">
        <f>IF(Roster!B45="","",Roster!B45)</f>
        <v/>
      </c>
      <c r="C46" s="10" t="str">
        <f>IF(Roster!C45="","",Roster!C45)</f>
        <v/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22" t="str">
        <f t="shared" si="1"/>
        <v/>
      </c>
      <c r="T46" s="22" t="str">
        <f t="shared" si="2"/>
        <v/>
      </c>
      <c r="U46" s="22" t="str">
        <f t="shared" si="3"/>
        <v/>
      </c>
      <c r="V46" s="22" t="str">
        <f t="shared" si="4"/>
        <v/>
      </c>
    </row>
    <row r="47" ht="15.75" customHeight="1">
      <c r="A47" s="9" t="str">
        <f>IF(Roster!A46="","",Roster!A46)</f>
        <v/>
      </c>
      <c r="B47" s="10" t="str">
        <f>IF(Roster!B46="","",Roster!B46)</f>
        <v/>
      </c>
      <c r="C47" s="10" t="str">
        <f>IF(Roster!C46="","",Roster!C46)</f>
        <v/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22" t="str">
        <f t="shared" si="1"/>
        <v/>
      </c>
      <c r="T47" s="22" t="str">
        <f t="shared" si="2"/>
        <v/>
      </c>
      <c r="U47" s="22" t="str">
        <f t="shared" si="3"/>
        <v/>
      </c>
      <c r="V47" s="22" t="str">
        <f t="shared" si="4"/>
        <v/>
      </c>
    </row>
    <row r="48" ht="15.75" customHeight="1">
      <c r="A48" s="9" t="str">
        <f>IF(Roster!A47="","",Roster!A47)</f>
        <v/>
      </c>
      <c r="B48" s="10" t="str">
        <f>IF(Roster!B47="","",Roster!B47)</f>
        <v/>
      </c>
      <c r="C48" s="10" t="str">
        <f>IF(Roster!C47="","",Roster!C47)</f>
        <v/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22" t="str">
        <f t="shared" si="1"/>
        <v/>
      </c>
      <c r="T48" s="22" t="str">
        <f t="shared" si="2"/>
        <v/>
      </c>
      <c r="U48" s="22" t="str">
        <f t="shared" si="3"/>
        <v/>
      </c>
      <c r="V48" s="22" t="str">
        <f t="shared" si="4"/>
        <v/>
      </c>
    </row>
    <row r="49" ht="15.75" customHeight="1">
      <c r="A49" s="9" t="str">
        <f>IF(Roster!A48="","",Roster!A48)</f>
        <v/>
      </c>
      <c r="B49" s="10" t="str">
        <f>IF(Roster!B48="","",Roster!B48)</f>
        <v/>
      </c>
      <c r="C49" s="10" t="str">
        <f>IF(Roster!C48="","",Roster!C48)</f>
        <v/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22" t="str">
        <f t="shared" si="1"/>
        <v/>
      </c>
      <c r="T49" s="22" t="str">
        <f t="shared" si="2"/>
        <v/>
      </c>
      <c r="U49" s="22" t="str">
        <f t="shared" si="3"/>
        <v/>
      </c>
      <c r="V49" s="22" t="str">
        <f t="shared" si="4"/>
        <v/>
      </c>
    </row>
    <row r="50" ht="15.75" customHeight="1">
      <c r="A50" s="9" t="str">
        <f>IF(Roster!A49="","",Roster!A49)</f>
        <v/>
      </c>
      <c r="B50" s="10" t="str">
        <f>IF(Roster!B49="","",Roster!B49)</f>
        <v/>
      </c>
      <c r="C50" s="10" t="str">
        <f>IF(Roster!C49="","",Roster!C49)</f>
        <v/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22" t="str">
        <f t="shared" si="1"/>
        <v/>
      </c>
      <c r="T50" s="22" t="str">
        <f t="shared" si="2"/>
        <v/>
      </c>
      <c r="U50" s="22" t="str">
        <f t="shared" si="3"/>
        <v/>
      </c>
      <c r="V50" s="22" t="str">
        <f t="shared" si="4"/>
        <v/>
      </c>
    </row>
    <row r="51" ht="15.75" customHeight="1">
      <c r="A51" s="9" t="str">
        <f>IF(Roster!A50="","",Roster!A50)</f>
        <v/>
      </c>
      <c r="B51" s="10" t="str">
        <f>IF(Roster!B50="","",Roster!B50)</f>
        <v/>
      </c>
      <c r="C51" s="10" t="str">
        <f>IF(Roster!C50="","",Roster!C50)</f>
        <v/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22" t="str">
        <f t="shared" si="1"/>
        <v/>
      </c>
      <c r="T51" s="22" t="str">
        <f t="shared" si="2"/>
        <v/>
      </c>
      <c r="U51" s="22" t="str">
        <f t="shared" si="3"/>
        <v/>
      </c>
      <c r="V51" s="22" t="str">
        <f t="shared" si="4"/>
        <v/>
      </c>
    </row>
    <row r="52" ht="15.75" customHeight="1">
      <c r="A52" s="9" t="str">
        <f>IF(Roster!A51="","",Roster!A51)</f>
        <v/>
      </c>
      <c r="B52" s="10" t="str">
        <f>IF(Roster!B51="","",Roster!B51)</f>
        <v/>
      </c>
      <c r="C52" s="10" t="str">
        <f>IF(Roster!C51="","",Roster!C51)</f>
        <v/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22" t="str">
        <f t="shared" si="1"/>
        <v/>
      </c>
      <c r="T52" s="22" t="str">
        <f t="shared" si="2"/>
        <v/>
      </c>
      <c r="U52" s="22" t="str">
        <f t="shared" si="3"/>
        <v/>
      </c>
      <c r="V52" s="22" t="str">
        <f t="shared" si="4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A$3"/>
  <mergeCells count="2">
    <mergeCell ref="M2:R2"/>
    <mergeCell ref="S2:V2"/>
  </mergeCells>
  <conditionalFormatting sqref="U4:U52">
    <cfRule type="cellIs" dxfId="0" priority="1" operator="greaterThan">
      <formula>4</formula>
    </cfRule>
  </conditionalFormatting>
  <conditionalFormatting sqref="V4:V52">
    <cfRule type="expression" dxfId="0" priority="2">
      <formula>ISNUMBER(SEARCH("❌",V4))</formula>
    </cfRule>
  </conditionalFormatting>
  <conditionalFormatting sqref="V4:V52">
    <cfRule type="expression" dxfId="1" priority="3">
      <formula>ISNUMBER(SEARCH("⚠",V4))</formula>
    </cfRule>
  </conditionalFormatting>
  <conditionalFormatting sqref="V4:V52">
    <cfRule type="expression" dxfId="2" priority="4">
      <formula>ISNUMBER(SEARCH("OK",V4))</formula>
    </cfRule>
  </conditionalFormatting>
  <dataValidations>
    <dataValidation type="list" allowBlank="1" sqref="M4:R52">
      <formula1>"X"</formula1>
    </dataValidation>
    <dataValidation type="list" allowBlank="1" sqref="D4:L52">
      <formula1>"X,A,B,C,D"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70.0"/>
    <col customWidth="1" min="3" max="26" width="8.71"/>
  </cols>
  <sheetData>
    <row r="1" ht="21.75" customHeight="1">
      <c r="A1" s="5" t="s">
        <v>100</v>
      </c>
      <c r="B1" s="7"/>
    </row>
    <row r="2">
      <c r="A2" s="29" t="s">
        <v>101</v>
      </c>
    </row>
    <row r="4">
      <c r="A4" s="30" t="s">
        <v>102</v>
      </c>
      <c r="B4" s="7"/>
    </row>
    <row r="5">
      <c r="A5" s="31" t="s">
        <v>103</v>
      </c>
      <c r="B5" s="7"/>
    </row>
    <row r="6">
      <c r="A6" s="32" t="s">
        <v>104</v>
      </c>
      <c r="B6" s="33" t="str">
        <f>IFERROR(__xludf.DUMMYFUNCTION("IFERROR(TEXTJOIN("", "",TRUE,FILTER(Signup!$A$4:$A$52,(Signup!$D$4:$D$52=""X"")*(((Signup!$B$4:$B$52=6)+(Signup!$B$4:$B$52=7))&gt;0)*(Signup!$C$4:$C$52=""F""))),"""")"),"Keva Bowron, Vienna Haas")</f>
        <v>Keva Bowron, Vienna Haas</v>
      </c>
    </row>
    <row r="7">
      <c r="A7" s="32" t="s">
        <v>105</v>
      </c>
      <c r="B7" s="33" t="str">
        <f>IFERROR(__xludf.DUMMYFUNCTION("IFERROR(TEXTJOIN("", "",TRUE,FILTER(Signup!$A$4:$A$52,(Signup!$D$4:$D$52=""X"")*(Signup!$B$4:$B$52=8)*(Signup!$C$4:$C$52=""F""))),"""")"),"")</f>
        <v/>
      </c>
    </row>
    <row r="8">
      <c r="A8" s="32" t="s">
        <v>106</v>
      </c>
      <c r="B8" s="33" t="str">
        <f>IFERROR(__xludf.DUMMYFUNCTION("IFERROR(TEXTJOIN("", "",TRUE,FILTER(Signup!$A$4:$A$52,(Signup!$D$4:$D$52=""X"")*(((Signup!$B$4:$B$52=6)+(Signup!$B$4:$B$52=7))&gt;0)*(Signup!$C$4:$C$52=""M""))),"""")"),"Cole Beaudry, Ari Klapperich-Khuu")</f>
        <v>Cole Beaudry, Ari Klapperich-Khuu</v>
      </c>
    </row>
    <row r="9">
      <c r="A9" s="32" t="s">
        <v>107</v>
      </c>
      <c r="B9" s="33" t="str">
        <f>IFERROR(__xludf.DUMMYFUNCTION("IFERROR(TEXTJOIN("", "",TRUE,FILTER(Signup!$A$4:$A$52,(Signup!$D$4:$D$52=""X"")*(Signup!$B$4:$B$52=8)*(Signup!$C$4:$C$52=""M""))),"""")"),"")</f>
        <v/>
      </c>
    </row>
    <row r="11">
      <c r="A11" s="31" t="s">
        <v>108</v>
      </c>
      <c r="B11" s="7"/>
    </row>
    <row r="12">
      <c r="A12" s="32" t="s">
        <v>104</v>
      </c>
      <c r="B12" s="33" t="str">
        <f>IFERROR(__xludf.DUMMYFUNCTION("IFERROR(TEXTJOIN("", "",TRUE,FILTER(Signup!$A$4:$A$52,(Signup!$E$4:$E$52=""X"")*(((Signup!$B$4:$B$52=6)+(Signup!$B$4:$B$52=7))&gt;0)*(Signup!$C$4:$C$52=""F""))),"""")"),"Perrin Light-Haberstroh, Arya Sanaka")</f>
        <v>Perrin Light-Haberstroh, Arya Sanaka</v>
      </c>
    </row>
    <row r="13">
      <c r="A13" s="32" t="s">
        <v>105</v>
      </c>
      <c r="B13" s="33" t="str">
        <f>IFERROR(__xludf.DUMMYFUNCTION("IFERROR(TEXTJOIN("", "",TRUE,FILTER(Signup!$A$4:$A$52,(Signup!$E$4:$E$52=""X"")*(Signup!$B$4:$B$52=8)*(Signup!$C$4:$C$52=""F""))),"""")"),"Cailee Pham")</f>
        <v>Cailee Pham</v>
      </c>
    </row>
    <row r="14">
      <c r="A14" s="32" t="s">
        <v>106</v>
      </c>
      <c r="B14" s="33" t="str">
        <f>IFERROR(__xludf.DUMMYFUNCTION("IFERROR(TEXTJOIN("", "",TRUE,FILTER(Signup!$A$4:$A$52,(Signup!$E$4:$E$52=""X"")*(((Signup!$B$4:$B$52=6)+(Signup!$B$4:$B$52=7))&gt;0)*(Signup!$C$4:$C$52=""M""))),"""")"),"Reuben Addington, Kai Dinger, Remy Fortin, Ari Klapperich-Khuu, Marcus Kunc, Devin Lindquist, Louis Ryan, Ben Surla, Caleb Wilson, Isaac Wilson")</f>
        <v>Reuben Addington, Kai Dinger, Remy Fortin, Ari Klapperich-Khuu, Marcus Kunc, Devin Lindquist, Louis Ryan, Ben Surla, Caleb Wilson, Isaac Wilson</v>
      </c>
    </row>
    <row r="15">
      <c r="A15" s="32" t="s">
        <v>107</v>
      </c>
      <c r="B15" s="33" t="str">
        <f>IFERROR(__xludf.DUMMYFUNCTION("IFERROR(TEXTJOIN("", "",TRUE,FILTER(Signup!$A$4:$A$52,(Signup!$E$4:$E$52=""X"")*(Signup!$B$4:$B$52=8)*(Signup!$C$4:$C$52=""M""))),"""")"),"Cooper Coblentz, Hudson Coblentz, Nathan Coblentz, Jin Trenh")</f>
        <v>Cooper Coblentz, Hudson Coblentz, Nathan Coblentz, Jin Trenh</v>
      </c>
    </row>
    <row r="17">
      <c r="A17" s="31" t="s">
        <v>109</v>
      </c>
      <c r="B17" s="7"/>
    </row>
    <row r="18">
      <c r="A18" s="32" t="s">
        <v>110</v>
      </c>
      <c r="B18" s="33" t="str">
        <f>IFERROR(__xludf.DUMMYFUNCTION("IFERROR(TEXTJOIN("", "",TRUE,FILTER(Signup!$A$4:$A$52,Signup!$F$4:$F$52=""A"")),"""")"),"Althea Bortel Fielder, Keva Bowron, Vienna Haas, Annika Peterson")</f>
        <v>Althea Bortel Fielder, Keva Bowron, Vienna Haas, Annika Peterson</v>
      </c>
    </row>
    <row r="19">
      <c r="A19" s="32" t="s">
        <v>111</v>
      </c>
      <c r="B19" s="33" t="str">
        <f>IFERROR(__xludf.DUMMYFUNCTION("IFERROR(TEXTJOIN("", "",TRUE,FILTER(Signup!$A$4:$A$52,Signup!$F$4:$F$52=""B"")),"""")"),"")</f>
        <v/>
      </c>
    </row>
    <row r="20">
      <c r="A20" s="32" t="s">
        <v>112</v>
      </c>
      <c r="B20" s="33" t="str">
        <f>IFERROR(__xludf.DUMMYFUNCTION("IFERROR(TEXTJOIN("", "",TRUE,FILTER(Signup!$A$4:$A$52,Signup!$F$4:$F$52=""C"")),"""")"),"Reuben Addington, Marcus Kunc, Devin Lindquist, Gabriel Nowariak")</f>
        <v>Reuben Addington, Marcus Kunc, Devin Lindquist, Gabriel Nowariak</v>
      </c>
    </row>
    <row r="21" ht="15.75" customHeight="1">
      <c r="A21" s="32" t="s">
        <v>113</v>
      </c>
      <c r="B21" s="33" t="str">
        <f>IFERROR(__xludf.DUMMYFUNCTION("IFERROR(TEXTJOIN("", "",TRUE,FILTER(Signup!$A$4:$A$52,Signup!$F$4:$F$52=""D"")),"""")"),"")</f>
        <v/>
      </c>
    </row>
    <row r="22" ht="15.75" customHeight="1"/>
    <row r="23" ht="15.75" customHeight="1">
      <c r="A23" s="31" t="s">
        <v>114</v>
      </c>
      <c r="B23" s="7"/>
    </row>
    <row r="24" ht="15.75" customHeight="1">
      <c r="A24" s="32" t="s">
        <v>104</v>
      </c>
      <c r="B24" s="33" t="str">
        <f>IFERROR(__xludf.DUMMYFUNCTION("IFERROR(TEXTJOIN("", "",TRUE,FILTER(Signup!$A$4:$A$52,(Signup!$G$4:$G$52=""X"")*(((Signup!$B$4:$B$52=6)+(Signup!$B$4:$B$52=7))&gt;0)*(Signup!$C$4:$C$52=""F""))),"""")"),"Amelia Roddy, Audrey Roffe")</f>
        <v>Amelia Roddy, Audrey Roffe</v>
      </c>
    </row>
    <row r="25" ht="15.75" customHeight="1">
      <c r="A25" s="32" t="s">
        <v>105</v>
      </c>
      <c r="B25" s="33" t="str">
        <f>IFERROR(__xludf.DUMMYFUNCTION("IFERROR(TEXTJOIN("", "",TRUE,FILTER(Signup!$A$4:$A$52,(Signup!$G$4:$G$52=""X"")*(Signup!$B$4:$B$52=8)*(Signup!$C$4:$C$52=""F""))),"""")"),"")</f>
        <v/>
      </c>
    </row>
    <row r="26" ht="15.75" customHeight="1">
      <c r="A26" s="32" t="s">
        <v>106</v>
      </c>
      <c r="B26" s="33" t="str">
        <f>IFERROR(__xludf.DUMMYFUNCTION("IFERROR(TEXTJOIN("", "",TRUE,FILTER(Signup!$A$4:$A$52,(Signup!$G$4:$G$52=""X"")*(((Signup!$B$4:$B$52=6)+(Signup!$B$4:$B$52=7))&gt;0)*(Signup!$C$4:$C$52=""M""))),"""")"),"Gabriel Nowariak, Ben Surla")</f>
        <v>Gabriel Nowariak, Ben Surla</v>
      </c>
    </row>
    <row r="27" ht="15.75" customHeight="1">
      <c r="A27" s="32" t="s">
        <v>107</v>
      </c>
      <c r="B27" s="33" t="str">
        <f>IFERROR(__xludf.DUMMYFUNCTION("IFERROR(TEXTJOIN("", "",TRUE,FILTER(Signup!$A$4:$A$52,(Signup!$G$4:$G$52=""X"")*(Signup!$B$4:$B$52=8)*(Signup!$C$4:$C$52=""M""))),"""")"),"Ben Hinrichs, Mattias Kunc")</f>
        <v>Ben Hinrichs, Mattias Kunc</v>
      </c>
    </row>
    <row r="28" ht="15.75" customHeight="1"/>
    <row r="29" ht="15.75" customHeight="1">
      <c r="A29" s="31" t="s">
        <v>115</v>
      </c>
      <c r="B29" s="7"/>
    </row>
    <row r="30" ht="15.75" customHeight="1">
      <c r="A30" s="32" t="s">
        <v>110</v>
      </c>
      <c r="B30" s="33" t="str">
        <f>IFERROR(__xludf.DUMMYFUNCTION("IFERROR(TEXTJOIN("", "",TRUE,FILTER(Signup!$A$4:$A$52,Signup!$H$4:$H$52=""A"")),"""")"),"Althea Bortel Fielder, Keva Bowron, Vienna Haas, Annika Peterson")</f>
        <v>Althea Bortel Fielder, Keva Bowron, Vienna Haas, Annika Peterson</v>
      </c>
    </row>
    <row r="31" ht="15.75" customHeight="1">
      <c r="A31" s="32" t="s">
        <v>111</v>
      </c>
      <c r="B31" s="33" t="str">
        <f>IFERROR(__xludf.DUMMYFUNCTION("IFERROR(TEXTJOIN("", "",TRUE,FILTER(Signup!$A$4:$A$52,Signup!$H$4:$H$52=""B"")),"""")"),"Elyse Folbrecht, Amelia Roddy")</f>
        <v>Elyse Folbrecht, Amelia Roddy</v>
      </c>
    </row>
    <row r="32" ht="15.75" customHeight="1">
      <c r="A32" s="32" t="s">
        <v>112</v>
      </c>
      <c r="B32" s="33" t="str">
        <f>IFERROR(__xludf.DUMMYFUNCTION("IFERROR(TEXTJOIN("", "",TRUE,FILTER(Signup!$A$4:$A$52,Signup!$H$4:$H$52=""C"")),"""")"),"Perrin Light-Haberstroh")</f>
        <v>Perrin Light-Haberstroh</v>
      </c>
    </row>
    <row r="33" ht="15.75" customHeight="1">
      <c r="A33" s="32" t="s">
        <v>113</v>
      </c>
      <c r="B33" s="33" t="str">
        <f>IFERROR(__xludf.DUMMYFUNCTION("IFERROR(TEXTJOIN("", "",TRUE,FILTER(Signup!$A$4:$A$52,Signup!$H$4:$H$52=""D"")),"""")"),"")</f>
        <v/>
      </c>
    </row>
    <row r="34" ht="15.75" customHeight="1"/>
    <row r="35" ht="15.75" customHeight="1">
      <c r="A35" s="31" t="s">
        <v>116</v>
      </c>
      <c r="B35" s="7"/>
    </row>
    <row r="36" ht="15.75" customHeight="1">
      <c r="A36" s="32" t="s">
        <v>104</v>
      </c>
      <c r="B36" s="33" t="str">
        <f>IFERROR(__xludf.DUMMYFUNCTION("IFERROR(TEXTJOIN("", "",TRUE,FILTER(Signup!$A$4:$A$52,(#REF!=""X"")*(((Signup!$B$4:$B$52=6)+(Signup!$B$4:$B$52=7))&gt;0)*(Signup!$C$4:$C$52=""F""))),"""")"),"")</f>
        <v/>
      </c>
    </row>
    <row r="37" ht="15.75" customHeight="1">
      <c r="A37" s="32" t="s">
        <v>105</v>
      </c>
      <c r="B37" s="33" t="str">
        <f>IFERROR(__xludf.DUMMYFUNCTION("IFERROR(TEXTJOIN("", "",TRUE,FILTER(Signup!$A$4:$A$52,(#REF!=""X"")*(Signup!$B$4:$B$52=8)*(Signup!$C$4:$C$52=""F""))),"""")"),"")</f>
        <v/>
      </c>
    </row>
    <row r="38" ht="15.75" customHeight="1">
      <c r="A38" s="32" t="s">
        <v>106</v>
      </c>
      <c r="B38" s="33" t="str">
        <f>IFERROR(__xludf.DUMMYFUNCTION("IFERROR(TEXTJOIN("", "",TRUE,FILTER(Signup!$A$4:$A$52,(#REF!=""X"")*(((Signup!$B$4:$B$52=6)+(Signup!$B$4:$B$52=7))&gt;0)*(Signup!$C$4:$C$52=""M""))),"""")"),"")</f>
        <v/>
      </c>
    </row>
    <row r="39" ht="15.75" customHeight="1">
      <c r="A39" s="32" t="s">
        <v>107</v>
      </c>
      <c r="B39" s="33" t="str">
        <f>IFERROR(__xludf.DUMMYFUNCTION("IFERROR(TEXTJOIN("", "",TRUE,FILTER(Signup!$A$4:$A$52,(#REF!=""X"")*(Signup!$B$4:$B$52=8)*(Signup!$C$4:$C$52=""M""))),"""")"),"")</f>
        <v/>
      </c>
    </row>
    <row r="40" ht="15.75" customHeight="1"/>
    <row r="41" ht="15.75" customHeight="1">
      <c r="A41" s="31" t="s">
        <v>117</v>
      </c>
      <c r="B41" s="7"/>
    </row>
    <row r="42" ht="15.75" customHeight="1">
      <c r="A42" s="32" t="s">
        <v>104</v>
      </c>
      <c r="B42" s="33" t="str">
        <f>IFERROR(__xludf.DUMMYFUNCTION("IFERROR(TEXTJOIN("", "",TRUE,FILTER(Signup!$A$4:$A$52,(Signup!$J$4:$J$52=""X"")*(((Signup!$B$4:$B$52=6)+(Signup!$B$4:$B$52=7))&gt;0)*(Signup!$C$4:$C$52=""F""))),"""")"),"Mila Bursell, Amelia Roddy")</f>
        <v>Mila Bursell, Amelia Roddy</v>
      </c>
    </row>
    <row r="43" ht="15.75" customHeight="1">
      <c r="A43" s="32" t="s">
        <v>105</v>
      </c>
      <c r="B43" s="33" t="str">
        <f>IFERROR(__xludf.DUMMYFUNCTION("IFERROR(TEXTJOIN("", "",TRUE,FILTER(Signup!$A$4:$A$52,(Signup!$J$4:$J$52=""X"")*(Signup!$B$4:$B$52=8)*(Signup!$C$4:$C$52=""F""))),"""")"),"")</f>
        <v/>
      </c>
    </row>
    <row r="44" ht="15.75" customHeight="1">
      <c r="A44" s="32" t="s">
        <v>106</v>
      </c>
      <c r="B44" s="33" t="str">
        <f>IFERROR(__xludf.DUMMYFUNCTION("IFERROR(TEXTJOIN("", "",TRUE,FILTER(Signup!$A$4:$A$52,(Signup!$J$4:$J$52=""X"")*(((Signup!$B$4:$B$52=6)+(Signup!$B$4:$B$52=7))&gt;0)*(Signup!$C$4:$C$52=""M""))),"""")"),"Cole Beaudry, Grayson Chon, Ben Surla")</f>
        <v>Cole Beaudry, Grayson Chon, Ben Surla</v>
      </c>
    </row>
    <row r="45" ht="15.75" customHeight="1">
      <c r="A45" s="32" t="s">
        <v>107</v>
      </c>
      <c r="B45" s="33" t="str">
        <f>IFERROR(__xludf.DUMMYFUNCTION("IFERROR(TEXTJOIN("", "",TRUE,FILTER(Signup!$A$4:$A$52,(Signup!$J$4:$J$52=""X"")*(Signup!$B$4:$B$52=8)*(Signup!$C$4:$C$52=""M""))),"""")"),"Ben Hinrichs")</f>
        <v>Ben Hinrichs</v>
      </c>
    </row>
    <row r="46" ht="15.75" customHeight="1"/>
    <row r="47" ht="15.75" customHeight="1">
      <c r="A47" s="31" t="s">
        <v>118</v>
      </c>
      <c r="B47" s="7"/>
    </row>
    <row r="48" ht="15.75" customHeight="1">
      <c r="A48" s="32" t="s">
        <v>104</v>
      </c>
      <c r="B48" s="33" t="str">
        <f>IFERROR(__xludf.DUMMYFUNCTION("IFERROR(TEXTJOIN("", "",TRUE,FILTER(Signup!$A$4:$A$52,(Signup!$K$4:$K$52=""X"")*(((Signup!$B$4:$B$52=6)+(Signup!$B$4:$B$52=7))&gt;0)*(Signup!$C$4:$C$52=""F""))),"""")"),"Althea Bortel Fielder, Perrin Light-Haberstroh, Arya Sanaka")</f>
        <v>Althea Bortel Fielder, Perrin Light-Haberstroh, Arya Sanaka</v>
      </c>
    </row>
    <row r="49" ht="15.75" customHeight="1">
      <c r="A49" s="32" t="s">
        <v>105</v>
      </c>
      <c r="B49" s="33" t="str">
        <f>IFERROR(__xludf.DUMMYFUNCTION("IFERROR(TEXTJOIN("", "",TRUE,FILTER(Signup!$A$4:$A$52,(Signup!$K$4:$K$52=""X"")*(Signup!$B$4:$B$52=8)*(Signup!$C$4:$C$52=""F""))),"""")"),"Sage Houdek, Cailee Pham")</f>
        <v>Sage Houdek, Cailee Pham</v>
      </c>
    </row>
    <row r="50" ht="15.75" customHeight="1">
      <c r="A50" s="32" t="s">
        <v>106</v>
      </c>
      <c r="B50" s="33" t="str">
        <f>IFERROR(__xludf.DUMMYFUNCTION("IFERROR(TEXTJOIN("", "",TRUE,FILTER(Signup!$A$4:$A$52,(Signup!$K$4:$K$52=""X"")*(((Signup!$B$4:$B$52=6)+(Signup!$B$4:$B$52=7))&gt;0)*(Signup!$C$4:$C$52=""M""))),"""")"),"Kai Dinger, Caleb Wilson, Isaac Wilson")</f>
        <v>Kai Dinger, Caleb Wilson, Isaac Wilson</v>
      </c>
    </row>
    <row r="51" ht="15.75" customHeight="1">
      <c r="A51" s="32" t="s">
        <v>107</v>
      </c>
      <c r="B51" s="33" t="str">
        <f>IFERROR(__xludf.DUMMYFUNCTION("IFERROR(TEXTJOIN("", "",TRUE,FILTER(Signup!$A$4:$A$52,(Signup!$K$4:$K$52=""X"")*(Signup!$B$4:$B$52=8)*(Signup!$C$4:$C$52=""M""))),"""")"),"Hudson Coblentz, Jin Trenh")</f>
        <v>Hudson Coblentz, Jin Trenh</v>
      </c>
    </row>
    <row r="52" ht="15.75" customHeight="1"/>
    <row r="53" ht="15.75" customHeight="1">
      <c r="A53" s="31" t="s">
        <v>119</v>
      </c>
      <c r="B53" s="7"/>
    </row>
    <row r="54" ht="15.75" customHeight="1">
      <c r="A54" s="32" t="s">
        <v>110</v>
      </c>
      <c r="B54" s="33" t="str">
        <f>IFERROR(__xludf.DUMMYFUNCTION("IFERROR(TEXTJOIN("", "",TRUE,FILTER(Signup!$A$4:$A$52,Signup!$L$4:$L$52=""A"")),"""")"),"")</f>
        <v/>
      </c>
    </row>
    <row r="55" ht="15.75" customHeight="1">
      <c r="A55" s="32" t="s">
        <v>111</v>
      </c>
      <c r="B55" s="33" t="str">
        <f>IFERROR(__xludf.DUMMYFUNCTION("IFERROR(TEXTJOIN("", "",TRUE,FILTER(Signup!$A$4:$A$52,Signup!$L$4:$L$52=""B"")),"""")"),"")</f>
        <v/>
      </c>
    </row>
    <row r="56" ht="15.75" customHeight="1">
      <c r="A56" s="32" t="s">
        <v>112</v>
      </c>
      <c r="B56" s="33" t="str">
        <f>IFERROR(__xludf.DUMMYFUNCTION("IFERROR(TEXTJOIN("", "",TRUE,FILTER(Signup!$A$4:$A$52,Signup!$L$4:$L$52=""C"")),"""")"),"")</f>
        <v/>
      </c>
    </row>
    <row r="57" ht="15.75" customHeight="1">
      <c r="A57" s="32" t="s">
        <v>113</v>
      </c>
      <c r="B57" s="33" t="str">
        <f>IFERROR(__xludf.DUMMYFUNCTION("IFERROR(TEXTJOIN("", "",TRUE,FILTER(Signup!$A$4:$A$52,Signup!$L$4:$L$52=""D"")),"""")"),"")</f>
        <v/>
      </c>
    </row>
    <row r="58" ht="15.75" customHeight="1"/>
    <row r="59" ht="15.75" customHeight="1">
      <c r="A59" s="30" t="s">
        <v>120</v>
      </c>
      <c r="B59" s="7"/>
    </row>
    <row r="60" ht="15.75" customHeight="1">
      <c r="A60" s="34" t="s">
        <v>121</v>
      </c>
      <c r="B60" s="7"/>
    </row>
    <row r="61" ht="15.75" customHeight="1">
      <c r="A61" s="32" t="s">
        <v>104</v>
      </c>
      <c r="B61" s="33" t="str">
        <f>IFERROR(__xludf.DUMMYFUNCTION("IFERROR(TEXTJOIN("", "",TRUE,FILTER(Signup!$A$4:$A$52,(Signup!$M$4:$M$52=""X"")*(((Signup!$B$4:$B$52=6)+(Signup!$B$4:$B$52=7))&gt;0)*(Signup!$C$4:$C$52=""F""))),"""")"),"Elyse Folbrecht")</f>
        <v>Elyse Folbrecht</v>
      </c>
    </row>
    <row r="62" ht="15.75" customHeight="1">
      <c r="A62" s="32" t="s">
        <v>105</v>
      </c>
      <c r="B62" s="33" t="str">
        <f>IFERROR(__xludf.DUMMYFUNCTION("IFERROR(TEXTJOIN("", "",TRUE,FILTER(Signup!$A$4:$A$52,(Signup!$M$4:$M$52=""X"")*(Signup!$B$4:$B$52=8)*(Signup!$C$4:$C$52=""F""))),"""")"),"")</f>
        <v/>
      </c>
    </row>
    <row r="63" ht="15.75" customHeight="1">
      <c r="A63" s="32" t="s">
        <v>106</v>
      </c>
      <c r="B63" s="33" t="str">
        <f>IFERROR(__xludf.DUMMYFUNCTION("IFERROR(TEXTJOIN("", "",TRUE,FILTER(Signup!$A$4:$A$52,(Signup!$M$4:$M$52=""X"")*(((Signup!$B$4:$B$52=6)+(Signup!$B$4:$B$52=7))&gt;0)*(Signup!$C$4:$C$52=""M""))),"""")"),"Reuben Addington, Louis Ryan")</f>
        <v>Reuben Addington, Louis Ryan</v>
      </c>
    </row>
    <row r="64" ht="15.75" customHeight="1">
      <c r="A64" s="32" t="s">
        <v>107</v>
      </c>
      <c r="B64" s="33" t="str">
        <f>IFERROR(__xludf.DUMMYFUNCTION("IFERROR(TEXTJOIN("", "",TRUE,FILTER(Signup!$A$4:$A$52,(Signup!$M$4:$M$52=""X"")*(Signup!$B$4:$B$52=8)*(Signup!$C$4:$C$52=""M""))),"""")"),"")</f>
        <v/>
      </c>
    </row>
    <row r="65" ht="15.75" customHeight="1"/>
    <row r="66" ht="15.75" customHeight="1">
      <c r="A66" s="34" t="s">
        <v>122</v>
      </c>
      <c r="B66" s="7"/>
    </row>
    <row r="67" ht="15.75" customHeight="1">
      <c r="A67" s="32" t="s">
        <v>104</v>
      </c>
      <c r="B67" s="33" t="str">
        <f>IFERROR(__xludf.DUMMYFUNCTION("IFERROR(TEXTJOIN("", "",TRUE,FILTER(Signup!$A$4:$A$52,(Signup!$N$4:$N$52=""X"")*(((Signup!$B$4:$B$52=6)+(Signup!$B$4:$B$52=7))&gt;0)*(Signup!$C$4:$C$52=""F""))),"""")"),"Elyse Folbrecht, Vienna Haas")</f>
        <v>Elyse Folbrecht, Vienna Haas</v>
      </c>
    </row>
    <row r="68" ht="15.75" customHeight="1">
      <c r="A68" s="32" t="s">
        <v>105</v>
      </c>
      <c r="B68" s="33" t="str">
        <f>IFERROR(__xludf.DUMMYFUNCTION("IFERROR(TEXTJOIN("", "",TRUE,FILTER(Signup!$A$4:$A$52,(Signup!$N$4:$N$52=""X"")*(Signup!$B$4:$B$52=8)*(Signup!$C$4:$C$52=""F""))),"""")"),"")</f>
        <v/>
      </c>
    </row>
    <row r="69" ht="15.75" customHeight="1">
      <c r="A69" s="32" t="s">
        <v>106</v>
      </c>
      <c r="B69" s="33" t="str">
        <f>IFERROR(__xludf.DUMMYFUNCTION("IFERROR(TEXTJOIN("", "",TRUE,FILTER(Signup!$A$4:$A$52,(Signup!$N$4:$N$52=""X"")*(((Signup!$B$4:$B$52=6)+(Signup!$B$4:$B$52=7))&gt;0)*(Signup!$C$4:$C$52=""M""))),"""")"),"Cole Beaudry, Grayson Chon, Kai Dinger, Devin Lindquist, Gabriel Nowariak, Isaac Wilson")</f>
        <v>Cole Beaudry, Grayson Chon, Kai Dinger, Devin Lindquist, Gabriel Nowariak, Isaac Wilson</v>
      </c>
    </row>
    <row r="70" ht="15.75" customHeight="1">
      <c r="A70" s="32" t="s">
        <v>107</v>
      </c>
      <c r="B70" s="33" t="str">
        <f>IFERROR(__xludf.DUMMYFUNCTION("IFERROR(TEXTJOIN("", "",TRUE,FILTER(Signup!$A$4:$A$52,(Signup!$N$4:$N$52=""X"")*(Signup!$B$4:$B$52=8)*(Signup!$C$4:$C$52=""M""))),"""")"),"Cooper Coblentz, Mattias Kunc")</f>
        <v>Cooper Coblentz, Mattias Kunc</v>
      </c>
    </row>
    <row r="71" ht="15.75" customHeight="1"/>
    <row r="72" ht="15.75" customHeight="1">
      <c r="A72" s="34" t="s">
        <v>123</v>
      </c>
      <c r="B72" s="7"/>
    </row>
    <row r="73" ht="15.75" customHeight="1">
      <c r="A73" s="32" t="s">
        <v>104</v>
      </c>
      <c r="B73" s="33" t="str">
        <f>IFERROR(__xludf.DUMMYFUNCTION("IFERROR(TEXTJOIN("", "",TRUE,FILTER(Signup!$A$4:$A$52,(Signup!$P$4:$P$52=""X"")*(((Signup!$B$4:$B$52=6)+(Signup!$B$4:$B$52=7))&gt;0)*(Signup!$C$4:$C$52=""F""))),"""")"),"Althea Bortel Fielder, Mila Bursell, Perrin Light-Haberstroh, Amelia Roddy, Audrey Roffe, Arya Sanaka")</f>
        <v>Althea Bortel Fielder, Mila Bursell, Perrin Light-Haberstroh, Amelia Roddy, Audrey Roffe, Arya Sanaka</v>
      </c>
    </row>
    <row r="74" ht="15.75" customHeight="1">
      <c r="A74" s="32" t="s">
        <v>105</v>
      </c>
      <c r="B74" s="33" t="str">
        <f>IFERROR(__xludf.DUMMYFUNCTION("IFERROR(TEXTJOIN("", "",TRUE,FILTER(Signup!$A$4:$A$52,(Signup!$P$4:$P$52=""X"")*(Signup!$B$4:$B$52=8)*(Signup!$C$4:$C$52=""F""))),"""")"),"Cora Ebinger, Sage Houdek, Cailee Pham")</f>
        <v>Cora Ebinger, Sage Houdek, Cailee Pham</v>
      </c>
    </row>
    <row r="75" ht="15.75" customHeight="1">
      <c r="A75" s="32" t="s">
        <v>106</v>
      </c>
      <c r="B75" s="33" t="str">
        <f>IFERROR(__xludf.DUMMYFUNCTION("IFERROR(TEXTJOIN("", "",TRUE,FILTER(Signup!$A$4:$A$52,(Signup!$P$4:$P$52=""X"")*(((Signup!$B$4:$B$52=6)+(Signup!$B$4:$B$52=7))&gt;0)*(Signup!$C$4:$C$52=""M""))),"""")"),"Remy Fortin, Gabriel Nowariak")</f>
        <v>Remy Fortin, Gabriel Nowariak</v>
      </c>
    </row>
    <row r="76" ht="15.75" customHeight="1">
      <c r="A76" s="32" t="s">
        <v>107</v>
      </c>
      <c r="B76" s="33" t="str">
        <f>IFERROR(__xludf.DUMMYFUNCTION("IFERROR(TEXTJOIN("", "",TRUE,FILTER(Signup!$A$4:$A$52,(Signup!$P$4:$P$52=""X"")*(Signup!$B$4:$B$52=8)*(Signup!$C$4:$C$52=""M""))),"""")"),"Hudson Coblentz, Aedan Herman, Mattias Kunc")</f>
        <v>Hudson Coblentz, Aedan Herman, Mattias Kunc</v>
      </c>
    </row>
    <row r="77" ht="15.75" customHeight="1"/>
    <row r="78" ht="15.75" customHeight="1">
      <c r="A78" s="34" t="s">
        <v>124</v>
      </c>
      <c r="B78" s="7"/>
    </row>
    <row r="79" ht="15.75" customHeight="1">
      <c r="A79" s="32" t="s">
        <v>104</v>
      </c>
      <c r="B79" s="33" t="str">
        <f>IFERROR(__xludf.DUMMYFUNCTION("IFERROR(TEXTJOIN("", "",TRUE,FILTER(Signup!$A$4:$A$52,(Signup!$Q$4:$Q$52=""X"")*(((Signup!$B$4:$B$52=6)+(Signup!$B$4:$B$52=7))&gt;0)*(Signup!$C$4:$C$52=""F""))),"""")"),"")</f>
        <v/>
      </c>
    </row>
    <row r="80" ht="15.75" customHeight="1">
      <c r="A80" s="32" t="s">
        <v>105</v>
      </c>
      <c r="B80" s="33" t="str">
        <f>IFERROR(__xludf.DUMMYFUNCTION("IFERROR(TEXTJOIN("", "",TRUE,FILTER(Signup!$A$4:$A$52,(Signup!$Q$4:$Q$52=""X"")*(Signup!$B$4:$B$52=8)*(Signup!$C$4:$C$52=""F""))),"""")"),"")</f>
        <v/>
      </c>
    </row>
    <row r="81" ht="15.75" customHeight="1">
      <c r="A81" s="32" t="s">
        <v>106</v>
      </c>
      <c r="B81" s="33" t="str">
        <f>IFERROR(__xludf.DUMMYFUNCTION("IFERROR(TEXTJOIN("", "",TRUE,FILTER(Signup!$A$4:$A$52,(Signup!$Q$4:$Q$52=""X"")*(((Signup!$B$4:$B$52=6)+(Signup!$B$4:$B$52=7))&gt;0)*(Signup!$C$4:$C$52=""M""))),"""")"),"")</f>
        <v/>
      </c>
    </row>
    <row r="82" ht="15.75" customHeight="1">
      <c r="A82" s="32" t="s">
        <v>107</v>
      </c>
      <c r="B82" s="33" t="str">
        <f>IFERROR(__xludf.DUMMYFUNCTION("IFERROR(TEXTJOIN("", "",TRUE,FILTER(Signup!$A$4:$A$52,(Signup!$Q$4:$Q$52=""X"")*(Signup!$B$4:$B$52=8)*(Signup!$C$4:$C$52=""M""))),"""")"),"")</f>
        <v/>
      </c>
    </row>
    <row r="83" ht="15.75" customHeight="1"/>
    <row r="84" ht="15.75" customHeight="1">
      <c r="A84" s="34" t="s">
        <v>125</v>
      </c>
      <c r="B84" s="7"/>
    </row>
    <row r="85" ht="15.75" customHeight="1">
      <c r="A85" s="32" t="s">
        <v>104</v>
      </c>
      <c r="B85" s="33" t="str">
        <f>IFERROR(__xludf.DUMMYFUNCTION("IFERROR(TEXTJOIN("", "",TRUE,FILTER(Signup!$A$4:$A$52,(Signup!$R$4:$R$52=""X"")*(((Signup!$B$4:$B$52=6)+(Signup!$B$4:$B$52=7))&gt;0)*(Signup!$C$4:$C$52=""F""))),"""")"),"Arya Sanaka")</f>
        <v>Arya Sanaka</v>
      </c>
    </row>
    <row r="86" ht="15.75" customHeight="1">
      <c r="A86" s="32" t="s">
        <v>105</v>
      </c>
      <c r="B86" s="33" t="str">
        <f>IFERROR(__xludf.DUMMYFUNCTION("IFERROR(TEXTJOIN("", "",TRUE,FILTER(Signup!$A$4:$A$52,(Signup!$R$4:$R$52=""X"")*(Signup!$B$4:$B$52=8)*(Signup!$C$4:$C$52=""F""))),"""")"),"")</f>
        <v/>
      </c>
    </row>
    <row r="87" ht="15.75" customHeight="1">
      <c r="A87" s="32" t="s">
        <v>106</v>
      </c>
      <c r="B87" s="33" t="str">
        <f>IFERROR(__xludf.DUMMYFUNCTION("IFERROR(TEXTJOIN("", "",TRUE,FILTER(Signup!$A$4:$A$52,(Signup!$R$4:$R$52=""X"")*(((Signup!$B$4:$B$52=6)+(Signup!$B$4:$B$52=7))&gt;0)*(Signup!$C$4:$C$52=""M""))),"""")"),"")</f>
        <v/>
      </c>
    </row>
    <row r="88" ht="15.75" customHeight="1">
      <c r="A88" s="32" t="s">
        <v>107</v>
      </c>
      <c r="B88" s="33" t="str">
        <f>IFERROR(__xludf.DUMMYFUNCTION("IFERROR(TEXTJOIN("", "",TRUE,FILTER(Signup!$A$4:$A$52,(Signup!$R$4:$R$52=""X"")*(Signup!$B$4:$B$52=8)*(Signup!$C$4:$C$52=""M""))),"""")"),"")</f>
        <v/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B1"/>
    <mergeCell ref="A2:B2"/>
    <mergeCell ref="A4:B4"/>
    <mergeCell ref="A5:B5"/>
    <mergeCell ref="A11:B11"/>
    <mergeCell ref="A17:B17"/>
    <mergeCell ref="A23:B23"/>
    <mergeCell ref="A66:B66"/>
    <mergeCell ref="A72:B72"/>
    <mergeCell ref="A78:B78"/>
    <mergeCell ref="A84:B84"/>
    <mergeCell ref="A29:B29"/>
    <mergeCell ref="A35:B35"/>
    <mergeCell ref="A41:B41"/>
    <mergeCell ref="A47:B47"/>
    <mergeCell ref="A53:B53"/>
    <mergeCell ref="A59:B59"/>
    <mergeCell ref="A60:B6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2026-04-21T17:53:13Z</dcterms:created>
  <dc:creator>openpyxl</dc:creator>
</cp:coreProperties>
</file>