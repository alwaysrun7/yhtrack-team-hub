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hletesParents Info " sheetId="1" r:id="rId5"/>
    <sheet state="visible" name="COACH INFO" sheetId="2" r:id="rId6"/>
    <sheet state="visible" name="Practice" sheetId="3" r:id="rId7"/>
    <sheet state="visible" name="Meets" sheetId="4" r:id="rId8"/>
    <sheet state="visible" name="Carpool" sheetId="5" r:id="rId9"/>
    <sheet state="visible" name="Meet Attendance" sheetId="6" r:id="rId10"/>
    <sheet state="visible" name="Attendance" sheetId="7" r:id="rId11"/>
    <sheet state="visible" name="Sheet21" sheetId="8" r:id="rId12"/>
    <sheet state="visible" name="Sheet18" sheetId="9" r:id="rId13"/>
    <sheet state="visible" name="Meet Volunteers" sheetId="10" r:id="rId14"/>
    <sheet state="visible" name="T&amp;F party 521" sheetId="11" r:id="rId15"/>
  </sheets>
  <definedNames>
    <definedName hidden="1" localSheetId="10" name="_xlnm._FilterDatabase">'T&amp;F party 521'!$D$1:$F$62</definedName>
    <definedName hidden="1" localSheetId="0" name="Z_3F6F2E03_26CD_4F88_8234_7E094F678808_.wvu.FilterData">'AthletesParents Info '!$A$1:$Z$61</definedName>
  </definedNames>
  <calcPr/>
  <customWorkbookViews>
    <customWorkbookView activeSheetId="0" maximized="1" windowHeight="0" windowWidth="0" guid="{3F6F2E03-26CD-4F88-8234-7E094F678808}" name="Filter 1"/>
  </customWorkbookViews>
</workbook>
</file>

<file path=xl/sharedStrings.xml><?xml version="1.0" encoding="utf-8"?>
<sst xmlns="http://schemas.openxmlformats.org/spreadsheetml/2006/main" count="965" uniqueCount="538">
  <si>
    <t>First Name</t>
  </si>
  <si>
    <t xml:space="preserve"> Last Name</t>
  </si>
  <si>
    <t xml:space="preserve"> Grade</t>
  </si>
  <si>
    <t xml:space="preserve">Parent(s)/Guardian </t>
  </si>
  <si>
    <t>Email 1</t>
  </si>
  <si>
    <t>Email 2</t>
  </si>
  <si>
    <t>Form</t>
  </si>
  <si>
    <t>Addis</t>
  </si>
  <si>
    <t>Demere</t>
  </si>
  <si>
    <t>Wondwosen Demere</t>
  </si>
  <si>
    <t>Haregewein Kassa</t>
  </si>
  <si>
    <t>wondey@live.com</t>
  </si>
  <si>
    <t>x</t>
  </si>
  <si>
    <t>Aedan</t>
  </si>
  <si>
    <t>Herman</t>
  </si>
  <si>
    <t>Alexander Herman</t>
  </si>
  <si>
    <t>Aika Shoo</t>
  </si>
  <si>
    <t>abherman@gmail.com</t>
  </si>
  <si>
    <t>b.aika.shoo@gmail.com</t>
  </si>
  <si>
    <t>Alexandra</t>
  </si>
  <si>
    <t>Ebinger</t>
  </si>
  <si>
    <t>Colleen Ebinger</t>
  </si>
  <si>
    <t>Fritz Ebinger</t>
  </si>
  <si>
    <t>colleen.ebinger@gmail.com</t>
  </si>
  <si>
    <t>fritzebinger@gmail.com</t>
  </si>
  <si>
    <t>Althea</t>
  </si>
  <si>
    <t>Bortel fielder</t>
  </si>
  <si>
    <t>Angela bortel</t>
  </si>
  <si>
    <t xml:space="preserve">Eric fielder </t>
  </si>
  <si>
    <t>Zoequoi@gmail.com</t>
  </si>
  <si>
    <t>Fielder.eric@gmail.com</t>
  </si>
  <si>
    <t>Amelia</t>
  </si>
  <si>
    <t>Roddy</t>
  </si>
  <si>
    <t xml:space="preserve">Kristi Roddy </t>
  </si>
  <si>
    <t>Jared Roddy</t>
  </si>
  <si>
    <t>kristimarie.rath@gmail.com</t>
  </si>
  <si>
    <t>jared.roddy@gmail.com</t>
  </si>
  <si>
    <t>Amen</t>
  </si>
  <si>
    <t>Annika</t>
  </si>
  <si>
    <t xml:space="preserve">Peterson </t>
  </si>
  <si>
    <t xml:space="preserve">Carlo Peterson </t>
  </si>
  <si>
    <t>Dan Peterson</t>
  </si>
  <si>
    <t>Carlolitpeterson@yahoo.com</t>
  </si>
  <si>
    <t>Pete0780@yahoo.com</t>
  </si>
  <si>
    <t xml:space="preserve">Ari </t>
  </si>
  <si>
    <t>Klapperich-Khuu</t>
  </si>
  <si>
    <t>Adam Klapperich</t>
  </si>
  <si>
    <t>Belle Khuu</t>
  </si>
  <si>
    <t>Adam.klapperich@gmail.com</t>
  </si>
  <si>
    <t>bellekhuu@gmail.com</t>
  </si>
  <si>
    <t>Arya</t>
  </si>
  <si>
    <t>Sanaka</t>
  </si>
  <si>
    <t>Himali Sanaka</t>
  </si>
  <si>
    <t xml:space="preserve">Rohit Verma </t>
  </si>
  <si>
    <t>Himali.sanaka@gmail.com</t>
  </si>
  <si>
    <t>Siddharth.sanaka@gmail.com</t>
  </si>
  <si>
    <t xml:space="preserve">Audrey </t>
  </si>
  <si>
    <t xml:space="preserve">Roffe </t>
  </si>
  <si>
    <t xml:space="preserve">Chris Roffe </t>
  </si>
  <si>
    <t xml:space="preserve">Phally Roffe </t>
  </si>
  <si>
    <t>bisache@gmail.com</t>
  </si>
  <si>
    <t>Psroffe@gmail.com</t>
  </si>
  <si>
    <t>Avinash</t>
  </si>
  <si>
    <t>Landahl</t>
  </si>
  <si>
    <t>Anaya Mitra</t>
  </si>
  <si>
    <t>Paul Landahl</t>
  </si>
  <si>
    <t>landahl.mitra@gmail.com</t>
  </si>
  <si>
    <t>paul@landahl.net</t>
  </si>
  <si>
    <t>Ben</t>
  </si>
  <si>
    <t>Surla</t>
  </si>
  <si>
    <t>Jen Surla</t>
  </si>
  <si>
    <t>Joe Surla</t>
  </si>
  <si>
    <t>joesurl@gmail.com</t>
  </si>
  <si>
    <t>jennifer.surla@gmail.com</t>
  </si>
  <si>
    <t>Hinrichs</t>
  </si>
  <si>
    <t>Todd Hinrichs</t>
  </si>
  <si>
    <t>Sonja Hinrichs</t>
  </si>
  <si>
    <t>todd55419@gmail.com</t>
  </si>
  <si>
    <t xml:space="preserve">shinrichs838@gmail.com </t>
  </si>
  <si>
    <t>Brighton</t>
  </si>
  <si>
    <t>Balk Mmary</t>
  </si>
  <si>
    <t>Katie Balk</t>
  </si>
  <si>
    <t>Emmanuel Jmmary</t>
  </si>
  <si>
    <t>katiebalk@gmail.com</t>
  </si>
  <si>
    <t>emmanueljmmary@gmail.com</t>
  </si>
  <si>
    <t>Cailee</t>
  </si>
  <si>
    <t>Pham</t>
  </si>
  <si>
    <t>Charmiqua pham</t>
  </si>
  <si>
    <t>Chris pham</t>
  </si>
  <si>
    <t>audrelle7@gmail.com</t>
  </si>
  <si>
    <t>cpham@fredlaw.com</t>
  </si>
  <si>
    <t>caleb</t>
  </si>
  <si>
    <t>wilson</t>
  </si>
  <si>
    <t>sonja theobald</t>
  </si>
  <si>
    <t>ellie theobald</t>
  </si>
  <si>
    <t>sonjatheobald@gmail.com</t>
  </si>
  <si>
    <t>Charlotte</t>
  </si>
  <si>
    <t>Saeger</t>
  </si>
  <si>
    <t>Angela Saeger</t>
  </si>
  <si>
    <t>Barry Saeger</t>
  </si>
  <si>
    <t>Angela.saeger@yahoo.com</t>
  </si>
  <si>
    <t>Bsaeger@yahoo.com</t>
  </si>
  <si>
    <t>Cole</t>
  </si>
  <si>
    <t>Beaudry</t>
  </si>
  <si>
    <t>Pamela Beaudry</t>
  </si>
  <si>
    <t>Nick Beaudry</t>
  </si>
  <si>
    <t>nbdb_81@hotmail.com</t>
  </si>
  <si>
    <t>Breit.pamela@gmail.com</t>
  </si>
  <si>
    <t>X</t>
  </si>
  <si>
    <t xml:space="preserve">Cooper </t>
  </si>
  <si>
    <t>Coblentz</t>
  </si>
  <si>
    <t xml:space="preserve">Airika Coblentz </t>
  </si>
  <si>
    <t>Eddie Coblentz</t>
  </si>
  <si>
    <t>Airikaann@gmail.com</t>
  </si>
  <si>
    <t>ecoblentz11@gmail.com</t>
  </si>
  <si>
    <t>Cora</t>
  </si>
  <si>
    <t xml:space="preserve">Devin </t>
  </si>
  <si>
    <t>Lindquist</t>
  </si>
  <si>
    <t>Anna Lindquist</t>
  </si>
  <si>
    <t>Jason Lindquist</t>
  </si>
  <si>
    <t>jasonandanna@gmail.com</t>
  </si>
  <si>
    <t>jason.lindquist@gmail.com</t>
  </si>
  <si>
    <t>Elyse</t>
  </si>
  <si>
    <t>Folbrecht</t>
  </si>
  <si>
    <t xml:space="preserve">Brent Folbrecht </t>
  </si>
  <si>
    <t>Ruby Liou</t>
  </si>
  <si>
    <t>folbrecht@hotmail.com</t>
  </si>
  <si>
    <t xml:space="preserve">Ethan </t>
  </si>
  <si>
    <t>Tschida</t>
  </si>
  <si>
    <t>Thien Sam</t>
  </si>
  <si>
    <t>Joshua Tschida</t>
  </si>
  <si>
    <t>tnsam1@gmail.com</t>
  </si>
  <si>
    <t>jdtschida@gmail.com</t>
  </si>
  <si>
    <t>Frank</t>
  </si>
  <si>
    <t>Ryan</t>
  </si>
  <si>
    <t>Emily Ryan</t>
  </si>
  <si>
    <t>Tony Ryan</t>
  </si>
  <si>
    <t>Xudobbs@yahoo.com</t>
  </si>
  <si>
    <t>Gabriel</t>
  </si>
  <si>
    <t>Nowariak</t>
  </si>
  <si>
    <t>Emily Subialka Nowariak</t>
  </si>
  <si>
    <t>Charles Nowariak</t>
  </si>
  <si>
    <t>em.subi@gmail.com</t>
  </si>
  <si>
    <t xml:space="preserve">cdnowariak@gmail.com </t>
  </si>
  <si>
    <t>Gabriella</t>
  </si>
  <si>
    <t>Gruber</t>
  </si>
  <si>
    <t>Kristen Eddy</t>
  </si>
  <si>
    <t>Chris Gruber</t>
  </si>
  <si>
    <t>kristeneddy@gmail.com</t>
  </si>
  <si>
    <t>grubergruber72@gmail.com</t>
  </si>
  <si>
    <t>Grayson</t>
  </si>
  <si>
    <t>Chon</t>
  </si>
  <si>
    <t>Sharon Su</t>
  </si>
  <si>
    <t>Jeffrey Chon</t>
  </si>
  <si>
    <t>ichun.su@gmail.com; Lbecher13@gmail.com</t>
  </si>
  <si>
    <t>jeffchon7@gmail.com</t>
  </si>
  <si>
    <t>Harper</t>
  </si>
  <si>
    <t>Stewart</t>
  </si>
  <si>
    <t>Charles Stewart</t>
  </si>
  <si>
    <t>Shannon Stewart</t>
  </si>
  <si>
    <t>charlesstewart3438@gmail.com</t>
  </si>
  <si>
    <t>s_buck3@hotmail.com</t>
  </si>
  <si>
    <t>Hudson</t>
  </si>
  <si>
    <t>isaac</t>
  </si>
  <si>
    <t xml:space="preserve">Isabel </t>
  </si>
  <si>
    <t>Jace</t>
  </si>
  <si>
    <t>Euphosin</t>
  </si>
  <si>
    <t>Peter Euphosin</t>
  </si>
  <si>
    <t>Mindy Euphosin</t>
  </si>
  <si>
    <t>mindyeuphosin@gmail.com</t>
  </si>
  <si>
    <t>Peter.euphosin@gmail.com</t>
  </si>
  <si>
    <t>Jasper</t>
  </si>
  <si>
    <t>Hill</t>
  </si>
  <si>
    <t>David hill</t>
  </si>
  <si>
    <t>Andrea Zimmerman</t>
  </si>
  <si>
    <t>hillx075@gmail.com</t>
  </si>
  <si>
    <t>azimmdancing@gmail.com</t>
  </si>
  <si>
    <t>Jin</t>
  </si>
  <si>
    <t>Trenh</t>
  </si>
  <si>
    <t>Ladi trenh</t>
  </si>
  <si>
    <t>NENH TRENH</t>
  </si>
  <si>
    <t>laditrenh@gmail.com</t>
  </si>
  <si>
    <t>Kai</t>
  </si>
  <si>
    <t>Dinger</t>
  </si>
  <si>
    <t>Chris Dinger</t>
  </si>
  <si>
    <t>Agnes Dinger</t>
  </si>
  <si>
    <t>chrisandnes@gmail.com</t>
  </si>
  <si>
    <t>agnes.dinger@gmail.com</t>
  </si>
  <si>
    <t>Keva</t>
  </si>
  <si>
    <t>Bowron</t>
  </si>
  <si>
    <t>Katina Kaalberg</t>
  </si>
  <si>
    <t>Chris Bowron</t>
  </si>
  <si>
    <t>Chris.katina@gmail.com</t>
  </si>
  <si>
    <t>katina.kaalberg@yinghuaacademy.org</t>
  </si>
  <si>
    <t>Leo</t>
  </si>
  <si>
    <t>Shu</t>
  </si>
  <si>
    <t>Dannell Shu</t>
  </si>
  <si>
    <t>Peter Shu</t>
  </si>
  <si>
    <t>dannellshu@gmail.com</t>
  </si>
  <si>
    <t>shufamilyhome@gmail.com</t>
  </si>
  <si>
    <t>Liam</t>
  </si>
  <si>
    <t>Bursell</t>
  </si>
  <si>
    <t>Cindy Bursell</t>
  </si>
  <si>
    <t>Jeff Bursell</t>
  </si>
  <si>
    <t>cindy.bursell@gmail.com</t>
  </si>
  <si>
    <t>Liv</t>
  </si>
  <si>
    <t>Romsaas</t>
  </si>
  <si>
    <t>Kiki Romsaas</t>
  </si>
  <si>
    <t>Erik Romsaas</t>
  </si>
  <si>
    <t>k.romsaas@gmail.com</t>
  </si>
  <si>
    <t>Louie</t>
  </si>
  <si>
    <t>Kate Herman</t>
  </si>
  <si>
    <t>Karl Herman</t>
  </si>
  <si>
    <t>katemarieherman@gmail.com</t>
  </si>
  <si>
    <t>Louis</t>
  </si>
  <si>
    <t>Marcus</t>
  </si>
  <si>
    <t>Kunc</t>
  </si>
  <si>
    <t>Silvina Patricelli</t>
  </si>
  <si>
    <t>Mariano kunc</t>
  </si>
  <si>
    <t>silvinapatricelli@yahoo.com</t>
  </si>
  <si>
    <t>Mattias</t>
  </si>
  <si>
    <t>Mariano Kunc</t>
  </si>
  <si>
    <t>Mila</t>
  </si>
  <si>
    <t>Nathan</t>
  </si>
  <si>
    <t>Otto</t>
  </si>
  <si>
    <t>Terhark</t>
  </si>
  <si>
    <t>Charles  Terhark</t>
  </si>
  <si>
    <t>Danielle Hartel</t>
  </si>
  <si>
    <t>chuck.terhark@gmail.com</t>
  </si>
  <si>
    <t>Perrin</t>
  </si>
  <si>
    <t>Light-Haberstroh</t>
  </si>
  <si>
    <t>Alissa Light</t>
  </si>
  <si>
    <t>Christian Haberstroh</t>
  </si>
  <si>
    <t>alissalight@gmail.com</t>
  </si>
  <si>
    <t>christian.haberstroh@gmail.com</t>
  </si>
  <si>
    <t>Remy</t>
  </si>
  <si>
    <t>Fortin</t>
  </si>
  <si>
    <t>Stefanie Fortin</t>
  </si>
  <si>
    <t>Samuel Fortin</t>
  </si>
  <si>
    <t>stefanie.fortin@gmail.com</t>
  </si>
  <si>
    <t>sam.j.fortin@gmail.com</t>
  </si>
  <si>
    <t>Reuben</t>
  </si>
  <si>
    <t>Addington</t>
  </si>
  <si>
    <t>Rachel Addington</t>
  </si>
  <si>
    <t>Drew Addington</t>
  </si>
  <si>
    <t>drewadding@gmail.com</t>
  </si>
  <si>
    <t>rachadding@gmail.com</t>
  </si>
  <si>
    <t>Sage</t>
  </si>
  <si>
    <t>Houdek</t>
  </si>
  <si>
    <t>Joshua Houdek</t>
  </si>
  <si>
    <t xml:space="preserve">Kristi Papenfuss </t>
  </si>
  <si>
    <t>joshuahoudek@gmail.com</t>
  </si>
  <si>
    <t>kristipapenfuss@gmail.com</t>
  </si>
  <si>
    <t>Teagan</t>
  </si>
  <si>
    <t>chris.katina@gmail.com</t>
  </si>
  <si>
    <t>Thea</t>
  </si>
  <si>
    <t>Nenh.trenh@gmail.com</t>
  </si>
  <si>
    <t>Tiancheng</t>
  </si>
  <si>
    <t>Yang</t>
  </si>
  <si>
    <t>Xiaoyan Sun</t>
  </si>
  <si>
    <t>Alison Maule-Kronmiller</t>
  </si>
  <si>
    <t>sunxyz@hotmail.com</t>
  </si>
  <si>
    <t>Tianming</t>
  </si>
  <si>
    <t>Vienna</t>
  </si>
  <si>
    <t>Haas</t>
  </si>
  <si>
    <t>Kristin Petersen</t>
  </si>
  <si>
    <t>Damian Haas</t>
  </si>
  <si>
    <t>kristincpetersen@hotmail.com</t>
  </si>
  <si>
    <t>haasdamain@hotmail.com</t>
  </si>
  <si>
    <t>Walter</t>
  </si>
  <si>
    <t xml:space="preserve">Folbrecht </t>
  </si>
  <si>
    <t>HEAD COACHES</t>
  </si>
  <si>
    <t>CONTACT</t>
  </si>
  <si>
    <t>OTHER INFO</t>
  </si>
  <si>
    <t>Drew</t>
  </si>
  <si>
    <t>Distance 800/1600, hurdles</t>
  </si>
  <si>
    <t>David</t>
  </si>
  <si>
    <t>Lewis</t>
  </si>
  <si>
    <t xml:space="preserve">david.lewis@yinghuaacademy.org </t>
  </si>
  <si>
    <t>middle distance, jumps</t>
  </si>
  <si>
    <t>Lily</t>
  </si>
  <si>
    <t>Ciske</t>
  </si>
  <si>
    <t>lilian.ciske@mail.northcentral.edu</t>
  </si>
  <si>
    <t>sprints, jumps</t>
  </si>
  <si>
    <t>ASSISTANT COACHES</t>
  </si>
  <si>
    <t>Angela</t>
  </si>
  <si>
    <t>Bortel</t>
  </si>
  <si>
    <t>Hard worker</t>
  </si>
  <si>
    <t>Leighton</t>
  </si>
  <si>
    <t>Becher</t>
  </si>
  <si>
    <t>lbecher13@gmail.com</t>
  </si>
  <si>
    <t>Distance 800/1600</t>
  </si>
  <si>
    <t xml:space="preserve">every other week </t>
  </si>
  <si>
    <t>PARENT VOLUNTEERS</t>
  </si>
  <si>
    <t>Anna</t>
  </si>
  <si>
    <t>hurdles</t>
  </si>
  <si>
    <t>Charles</t>
  </si>
  <si>
    <t>cdnowariak@icloud.com</t>
  </si>
  <si>
    <t>Kristin</t>
  </si>
  <si>
    <t xml:space="preserve"> Petersen</t>
  </si>
  <si>
    <t>shot &amp; discus</t>
  </si>
  <si>
    <t>Anaya</t>
  </si>
  <si>
    <t>Mitra</t>
  </si>
  <si>
    <t>Thursdays only</t>
  </si>
  <si>
    <t>needed</t>
  </si>
  <si>
    <t xml:space="preserve">TEAM MANAGER </t>
  </si>
  <si>
    <t>Behind the scenes job. Not to hard. Help coaches with communication, volunteers and end of season party</t>
  </si>
  <si>
    <t>Thein</t>
  </si>
  <si>
    <t>Sam</t>
  </si>
  <si>
    <r>
      <rPr>
        <rFont val="Arial"/>
        <color theme="1"/>
      </rPr>
      <t xml:space="preserve">Practices are Tuesday &amp; Thursday 3:30-5PM unless there is NO school or a meet on that day. </t>
    </r>
    <r>
      <rPr>
        <rFont val="Arial"/>
        <color rgb="FF000000"/>
      </rPr>
      <t>Track Practice and other Details</t>
    </r>
  </si>
  <si>
    <t>Practice Pick up: 5:00PM from the field behind the school</t>
  </si>
  <si>
    <t>Date</t>
  </si>
  <si>
    <t>Practice</t>
  </si>
  <si>
    <t>Comments</t>
  </si>
  <si>
    <t>Gym is available on Thursdays</t>
  </si>
  <si>
    <t>3:30-5:00</t>
  </si>
  <si>
    <t>no school, NO practice</t>
  </si>
  <si>
    <t>train at home</t>
  </si>
  <si>
    <t>3:30-6:00</t>
  </si>
  <si>
    <t>In-house mini meet and End of season party.</t>
  </si>
  <si>
    <r>
      <rPr>
        <rFont val="Arial"/>
        <b/>
        <color theme="1"/>
      </rPr>
      <t xml:space="preserve">ALL BUS RIDES ARE ONE WAY RIDES. Parents must pick up from meet. </t>
    </r>
    <r>
      <rPr>
        <rFont val="Arial"/>
        <b val="0"/>
        <color theme="1"/>
      </rPr>
      <t>Buses confirmed 4/8/26</t>
    </r>
  </si>
  <si>
    <t>TRACK 2026</t>
  </si>
  <si>
    <t>TRACK &amp; FIELD MEETS. GO DRAGONS!</t>
  </si>
  <si>
    <t>DATE</t>
  </si>
  <si>
    <t>TIME</t>
  </si>
  <si>
    <t>HOST SCHOOL</t>
  </si>
  <si>
    <t>GRADES</t>
  </si>
  <si>
    <t>LOCATION</t>
  </si>
  <si>
    <t>ADDRESS</t>
  </si>
  <si>
    <t xml:space="preserve">Dismissal </t>
  </si>
  <si>
    <t>Bus (to meet)</t>
  </si>
  <si>
    <t>Meet Info</t>
  </si>
  <si>
    <t>AD</t>
  </si>
  <si>
    <t>Contact</t>
  </si>
  <si>
    <t xml:space="preserve">St. Paul Central H.S. </t>
  </si>
  <si>
    <t>St. Paul Central HS</t>
  </si>
  <si>
    <t>275 Lexington Pkwy N, St Paul, MN 55104</t>
  </si>
  <si>
    <t>none</t>
  </si>
  <si>
    <t>no bus</t>
  </si>
  <si>
    <r>
      <rPr>
        <color rgb="FF1155CC"/>
        <sz val="12.0"/>
        <u/>
      </rPr>
      <t>Meet Details</t>
    </r>
    <r>
      <rPr>
        <color rgb="FF1F1F1F"/>
        <sz val="12.0"/>
      </rPr>
      <t xml:space="preserve">, </t>
    </r>
    <r>
      <rPr>
        <color rgb="FF1155CC"/>
        <sz val="12.0"/>
        <u/>
      </rPr>
      <t>more details</t>
    </r>
  </si>
  <si>
    <r>
      <rPr>
        <color rgb="FF1155CC"/>
        <u/>
      </rPr>
      <t>anna-marie.allen@spps.org</t>
    </r>
    <r>
      <rPr>
        <color rgb="FF000000"/>
      </rPr>
      <t>.</t>
    </r>
  </si>
  <si>
    <t>Gr 5 by coach invite only</t>
  </si>
  <si>
    <t>Richfield MS</t>
  </si>
  <si>
    <t>Richfield HS</t>
  </si>
  <si>
    <t>7001 Harriet Avenue , Richfield, MN 55423</t>
  </si>
  <si>
    <t>Meet Details</t>
  </si>
  <si>
    <t>Katie Jones</t>
  </si>
  <si>
    <t xml:space="preserve"> kathryn.jones@rpsmn.org</t>
  </si>
  <si>
    <t>Olson MS-Bloomington</t>
  </si>
  <si>
    <t>Jefferson HS</t>
  </si>
  <si>
    <t>4001 W 102nd St, Bloomington, MN 55437</t>
  </si>
  <si>
    <t>Meet details</t>
  </si>
  <si>
    <t>John Born</t>
  </si>
  <si>
    <t>jborn@isd271.org</t>
  </si>
  <si>
    <t>MEET DETAILS</t>
  </si>
  <si>
    <t>Prior Lake</t>
  </si>
  <si>
    <t>Prior Lake HS</t>
  </si>
  <si>
    <t>7575 150th St W, Savage, MN 55378</t>
  </si>
  <si>
    <t>Beth Fuller</t>
  </si>
  <si>
    <t>bfuller@plsas.org</t>
  </si>
  <si>
    <t>$100 entry fee</t>
  </si>
  <si>
    <t>5:00-8:00PM</t>
  </si>
  <si>
    <t>TCGIS</t>
  </si>
  <si>
    <t>Concordia Academy</t>
  </si>
  <si>
    <t>2400 Dale St N, Roseville, MN 55113</t>
  </si>
  <si>
    <t>None</t>
  </si>
  <si>
    <t>NO BUS</t>
  </si>
  <si>
    <t>Chris Tabisz</t>
  </si>
  <si>
    <t>ctabisz@tcgis.org</t>
  </si>
  <si>
    <t>yes-</t>
  </si>
  <si>
    <t>Yinghua-inhouse meet</t>
  </si>
  <si>
    <t>Yinghua/NE Park</t>
  </si>
  <si>
    <t>IN HOUSE MEET &amp; End of Season Party</t>
  </si>
  <si>
    <t>----</t>
  </si>
  <si>
    <t xml:space="preserve">   </t>
  </si>
  <si>
    <t>Host</t>
  </si>
  <si>
    <t>Yinghua in house meet</t>
  </si>
  <si>
    <t>Location</t>
  </si>
  <si>
    <t>Edison: 700 22nd Ave NE, Minneapolis, MN 55418</t>
  </si>
  <si>
    <t>Carpool Time</t>
  </si>
  <si>
    <t xml:space="preserve">Meet-up location: </t>
  </si>
  <si>
    <t>Jim Lupient waterpark parking lot</t>
  </si>
  <si>
    <t>Number of athletes needing a ride: ?</t>
  </si>
  <si>
    <t>Shane Jasper</t>
  </si>
  <si>
    <t>Angela Courtney</t>
  </si>
  <si>
    <t>Ross Hefferan</t>
  </si>
  <si>
    <t>Anna Sneltjes</t>
  </si>
  <si>
    <t>Anges Dinger</t>
  </si>
  <si>
    <t>Steve Sabatke</t>
  </si>
  <si>
    <t xml:space="preserve">Angela bortel </t>
  </si>
  <si>
    <t>Ethan</t>
  </si>
  <si>
    <t>Nathan Coblentz</t>
  </si>
  <si>
    <t>Hazel</t>
  </si>
  <si>
    <t>Naomi</t>
  </si>
  <si>
    <t>Silas Meyer</t>
  </si>
  <si>
    <t>Saoirse</t>
  </si>
  <si>
    <t>Christopher</t>
  </si>
  <si>
    <t>Ada</t>
  </si>
  <si>
    <t>Driver's Name</t>
  </si>
  <si>
    <t>Parent of...</t>
  </si>
  <si>
    <t>Phone Number</t>
  </si>
  <si>
    <t>Back (total)</t>
  </si>
  <si>
    <t>Front</t>
  </si>
  <si>
    <t>Notes</t>
  </si>
  <si>
    <t>Isabel</t>
  </si>
  <si>
    <t>Owen Colai</t>
  </si>
  <si>
    <t>Greyson DeWalt</t>
  </si>
  <si>
    <t>Ian Lindquist</t>
  </si>
  <si>
    <t>Quentin Moy-Gottfried</t>
  </si>
  <si>
    <t>Gabriel Nowariak</t>
  </si>
  <si>
    <t>Kayleigh Thomas</t>
  </si>
  <si>
    <t>Albin Tyborski</t>
  </si>
  <si>
    <t>Alexandra Ebinger</t>
  </si>
  <si>
    <t>Authur Goben</t>
  </si>
  <si>
    <t>Devin Lindquist</t>
  </si>
  <si>
    <t>Duyen Nguyen</t>
  </si>
  <si>
    <t>Cailee Pham</t>
  </si>
  <si>
    <t>Christopher Sabatke</t>
  </si>
  <si>
    <t>Londyn Thomas</t>
  </si>
  <si>
    <t>Hudson Coblentz</t>
  </si>
  <si>
    <t>Ari Klapperich-Khuu</t>
  </si>
  <si>
    <t>Grayson C</t>
  </si>
  <si>
    <t>Finley Cox</t>
  </si>
  <si>
    <t>Cora Ebinger</t>
  </si>
  <si>
    <t>Orianna Gruber</t>
  </si>
  <si>
    <t>Sylvia Martin</t>
  </si>
  <si>
    <t>Amelia Roddy</t>
  </si>
  <si>
    <t>Sawyer Schulz</t>
  </si>
  <si>
    <t>Jonathon Thomas</t>
  </si>
  <si>
    <t>Cora Clark</t>
  </si>
  <si>
    <t>Addis Demere</t>
  </si>
  <si>
    <t>Evelyn Evans</t>
  </si>
  <si>
    <t>Hazel Hill</t>
  </si>
  <si>
    <t>Rowan McGregor</t>
  </si>
  <si>
    <t>Audrey Roffe</t>
  </si>
  <si>
    <t>Ben Surla</t>
  </si>
  <si>
    <t>Cooper Coblentz</t>
  </si>
  <si>
    <t>Elyse Folbrect</t>
  </si>
  <si>
    <t>Remi Klapperich-Khuu</t>
  </si>
  <si>
    <t>Jasper McGregor</t>
  </si>
  <si>
    <t>Ava Copperud</t>
  </si>
  <si>
    <t>Y</t>
  </si>
  <si>
    <t>Rowan</t>
  </si>
  <si>
    <t>McGregor</t>
  </si>
  <si>
    <t xml:space="preserve">Bortel Fielder </t>
  </si>
  <si>
    <t>y</t>
  </si>
  <si>
    <t>Silas</t>
  </si>
  <si>
    <t>Meyer</t>
  </si>
  <si>
    <t xml:space="preserve">Quentin </t>
  </si>
  <si>
    <t xml:space="preserve">Moy-Gottfried </t>
  </si>
  <si>
    <t>Number of Athletes</t>
  </si>
  <si>
    <t>Duyen</t>
  </si>
  <si>
    <t>Nguyen</t>
  </si>
  <si>
    <t>Seats Available</t>
  </si>
  <si>
    <t>Clark</t>
  </si>
  <si>
    <t>Number of Players who cannot attend</t>
  </si>
  <si>
    <t>Remaining Seats Needed</t>
  </si>
  <si>
    <t xml:space="preserve">Coblentz </t>
  </si>
  <si>
    <t>Owen</t>
  </si>
  <si>
    <t>Colai</t>
  </si>
  <si>
    <t>Ava</t>
  </si>
  <si>
    <t>Copperud</t>
  </si>
  <si>
    <t>Courtney</t>
  </si>
  <si>
    <t>Roffe</t>
  </si>
  <si>
    <t>Finley</t>
  </si>
  <si>
    <t>Cox</t>
  </si>
  <si>
    <t xml:space="preserve">Christopher </t>
  </si>
  <si>
    <t>Sabatke</t>
  </si>
  <si>
    <t>Sawyer</t>
  </si>
  <si>
    <t>Schulz</t>
  </si>
  <si>
    <t>Greyson</t>
  </si>
  <si>
    <t>DeWalt</t>
  </si>
  <si>
    <t>Kayleigh</t>
  </si>
  <si>
    <t>Thomas</t>
  </si>
  <si>
    <t xml:space="preserve">Londyn </t>
  </si>
  <si>
    <t>jonathan</t>
  </si>
  <si>
    <t xml:space="preserve">Thomas </t>
  </si>
  <si>
    <t>Evelyn</t>
  </si>
  <si>
    <t>Evans</t>
  </si>
  <si>
    <t xml:space="preserve">Arthur </t>
  </si>
  <si>
    <t>Goben</t>
  </si>
  <si>
    <t>Albin</t>
  </si>
  <si>
    <t>Tyborski</t>
  </si>
  <si>
    <t>Orianna</t>
  </si>
  <si>
    <t>Hefferan</t>
  </si>
  <si>
    <t xml:space="preserve">Hazel </t>
  </si>
  <si>
    <t xml:space="preserve">Remi </t>
  </si>
  <si>
    <t>Ari</t>
  </si>
  <si>
    <t>Ian</t>
  </si>
  <si>
    <t>Devin</t>
  </si>
  <si>
    <t>Sylvia</t>
  </si>
  <si>
    <t xml:space="preserve">Martin </t>
  </si>
  <si>
    <t xml:space="preserve"> First Name</t>
  </si>
  <si>
    <t>Saturday 4/19 @ Harding</t>
  </si>
  <si>
    <t>Wednesday 4/23 @ Edison (practice ending @ 5pm)</t>
  </si>
  <si>
    <t>Tuesday 4/29 @ Edison (practice ending @ 5:15pm - need #s for carpool purposes)</t>
  </si>
  <si>
    <r>
      <rPr>
        <rFont val="Arial"/>
        <b/>
        <color theme="1"/>
      </rPr>
      <t xml:space="preserve">Friday 5/2 @ Richfield </t>
    </r>
    <r>
      <rPr>
        <rFont val="Arial"/>
        <b/>
        <i/>
        <color theme="1"/>
      </rPr>
      <t>(grades 6-8 only)</t>
    </r>
  </si>
  <si>
    <r>
      <rPr>
        <rFont val="Arial"/>
        <b/>
        <color theme="1"/>
      </rPr>
      <t xml:space="preserve">Wednesday 5/14 @ Prior Lake </t>
    </r>
    <r>
      <rPr>
        <rFont val="Arial"/>
        <b/>
        <i/>
        <color theme="1"/>
      </rPr>
      <t>(grades 6-8 only)</t>
    </r>
  </si>
  <si>
    <t>Friday 5/16 @ Concordia Academy</t>
  </si>
  <si>
    <t>No TH</t>
  </si>
  <si>
    <t xml:space="preserve">Benjamin </t>
  </si>
  <si>
    <t xml:space="preserve">Hinrichs </t>
  </si>
  <si>
    <t>Event</t>
  </si>
  <si>
    <t>Role</t>
  </si>
  <si>
    <t>Volunteer</t>
  </si>
  <si>
    <t>Harding Track Meet</t>
  </si>
  <si>
    <t>Post-meet snack or beverage</t>
  </si>
  <si>
    <t>Tent/Canopy</t>
  </si>
  <si>
    <t>Yinghua In house Mini meet @ EHS</t>
  </si>
  <si>
    <t>Timer/measurer</t>
  </si>
  <si>
    <t>Richfield Track meet</t>
  </si>
  <si>
    <t>Prior Lake Track meet</t>
  </si>
  <si>
    <t>Concordia Academy Track meet</t>
  </si>
  <si>
    <r>
      <rPr/>
      <t xml:space="preserve">TCGIS is asking for volunteers to help with a variety of jobs! </t>
    </r>
    <r>
      <rPr>
        <color rgb="FF1155CC"/>
        <u/>
      </rPr>
      <t>Sign up here</t>
    </r>
  </si>
  <si>
    <t>Yinghua Academy meet</t>
  </si>
  <si>
    <t>Report @ 3:45pm</t>
  </si>
  <si>
    <t>Shot put official</t>
  </si>
  <si>
    <t>Discus official</t>
  </si>
  <si>
    <t>Entering times in spreadsheet</t>
  </si>
  <si>
    <t>Report @ 4pm</t>
  </si>
  <si>
    <t>Finish line timer</t>
  </si>
  <si>
    <t>(alumni are happy to help wherever)</t>
  </si>
  <si>
    <t xml:space="preserve">Thursday May 21
Yinghua Fields
</t>
  </si>
  <si>
    <t>Attending Meet?</t>
  </si>
  <si>
    <t>Attending Party</t>
  </si>
  <si>
    <t># of people expected to eat pizza (athlete and any family members)</t>
  </si>
  <si>
    <t>Volunteers</t>
  </si>
  <si>
    <t>Set Up</t>
  </si>
  <si>
    <t>Party</t>
  </si>
  <si>
    <t>$??? per person, pay by Venmo ?</t>
  </si>
  <si>
    <t>Clean up</t>
  </si>
  <si>
    <t>Pizza
pickup and serving</t>
  </si>
  <si>
    <t>(Paper products)</t>
  </si>
  <si>
    <t>Plates</t>
  </si>
  <si>
    <t>Napkins</t>
  </si>
  <si>
    <t>Snacks</t>
  </si>
  <si>
    <t>Drinks</t>
  </si>
  <si>
    <t xml:space="preserve">Popsicles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</si>
</sst>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"/>
    <numFmt numFmtId="165" formatCode="mmmm d"/>
    <numFmt numFmtId="166" formatCode="h:mm am/pm"/>
    <numFmt numFmtId="167" formatCode="m-d"/>
    <numFmt numFmtId="168" formatCode="m/d/yyyy"/>
    <numFmt numFmtId="169" formatCode="M/d/yyyy"/>
    <numFmt numFmtId="170" formatCode="m/d/yy"/>
  </numFmts>
  <fonts count="5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sz val="13.0"/>
      <color rgb="FF000000"/>
      <name val="Roboto"/>
    </font>
    <font>
      <sz val="13.0"/>
      <color rgb="FF000000"/>
      <name val="Arial"/>
    </font>
    <font>
      <color rgb="FF000000"/>
      <name val="Roboto"/>
    </font>
    <font>
      <sz val="12.0"/>
      <color rgb="FF000000"/>
      <name val="Roboto"/>
    </font>
    <font>
      <sz val="13.0"/>
      <color rgb="FF434343"/>
      <name val="Roboto"/>
    </font>
    <font>
      <sz val="12.0"/>
      <color theme="1"/>
      <name val="Roboto"/>
    </font>
    <font>
      <sz val="13.0"/>
      <color theme="1"/>
      <name val="Arial"/>
    </font>
    <font>
      <sz val="12.0"/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sz val="12.0"/>
      <color rgb="FF000000"/>
      <name val="Arial"/>
      <scheme val="minor"/>
    </font>
    <font>
      <sz val="12.0"/>
      <color rgb="FF434343"/>
      <name val="Roboto"/>
    </font>
    <font>
      <u/>
      <sz val="12.0"/>
      <color rgb="FF1155CC"/>
      <name val="&quot;Google Sans&quot;"/>
    </font>
    <font>
      <sz val="12.0"/>
      <color rgb="FF5E5E5E"/>
      <name val="&quot;Google Sans&quot;"/>
    </font>
    <font>
      <b/>
      <sz val="11.0"/>
      <color rgb="FF1F1F1F"/>
      <name val="&quot;Google Sans&quot;"/>
    </font>
    <font>
      <sz val="11.0"/>
      <color rgb="FF5E5E5E"/>
      <name val="&quot;Google Sans&quot;"/>
    </font>
    <font>
      <color rgb="FF000000"/>
      <name val="Arial"/>
    </font>
    <font/>
    <font>
      <b/>
      <sz val="33.0"/>
      <color rgb="FFFFFFFF"/>
      <name val="Arial"/>
      <scheme val="minor"/>
    </font>
    <font>
      <b/>
      <sz val="18.0"/>
      <color theme="1"/>
      <name val="Arial"/>
      <scheme val="minor"/>
    </font>
    <font>
      <sz val="10.0"/>
      <color theme="1"/>
      <name val="Arial"/>
      <scheme val="minor"/>
    </font>
    <font>
      <strike/>
      <sz val="12.0"/>
      <color theme="1"/>
      <name val="Arial"/>
    </font>
    <font>
      <strike/>
      <sz val="12.0"/>
      <color theme="1"/>
      <name val="Arial"/>
      <scheme val="minor"/>
    </font>
    <font>
      <sz val="11.0"/>
      <color rgb="FF1F1F1F"/>
      <name val="Roboto"/>
    </font>
    <font>
      <u/>
      <sz val="12.0"/>
      <color rgb="FF0000FF"/>
    </font>
    <font>
      <u/>
      <color rgb="FF000000"/>
    </font>
    <font>
      <color theme="1"/>
      <name val="Arial"/>
    </font>
    <font>
      <sz val="12.0"/>
      <color theme="1"/>
      <name val="Arial"/>
    </font>
    <font>
      <sz val="11.0"/>
      <color rgb="FF202124"/>
      <name val="Roboto"/>
    </font>
    <font>
      <u/>
      <sz val="12.0"/>
      <color rgb="FF0000FF"/>
      <name val="Arial"/>
    </font>
    <font>
      <sz val="11.0"/>
      <color rgb="FF222222"/>
      <name val="Google Sans"/>
    </font>
    <font>
      <sz val="11.0"/>
      <color rgb="FF222222"/>
      <name val="&quot;Google Sans&quot;"/>
    </font>
    <font>
      <u/>
      <color rgb="FF0000FF"/>
    </font>
    <font>
      <b/>
      <sz val="8.0"/>
      <color theme="1"/>
      <name val="Arial"/>
      <scheme val="minor"/>
    </font>
    <font>
      <b/>
      <color rgb="FFFF0000"/>
      <name val="Arial"/>
    </font>
    <font>
      <b/>
      <sz val="9.0"/>
      <color theme="1"/>
      <name val="Arial"/>
    </font>
    <font>
      <sz val="9.0"/>
      <color theme="1"/>
      <name val="Arial"/>
    </font>
    <font>
      <color rgb="FFFF0000"/>
      <name val="Arial"/>
    </font>
    <font>
      <b/>
      <color rgb="FF000000"/>
      <name val="Roboto"/>
    </font>
    <font>
      <color rgb="FF000000"/>
      <name val="Arial"/>
      <scheme val="minor"/>
    </font>
    <font>
      <sz val="14.0"/>
      <color rgb="FF001D35"/>
      <name val="Monospace"/>
    </font>
    <font>
      <sz val="11.0"/>
      <color theme="1"/>
      <name val="Arial"/>
      <scheme val="minor"/>
    </font>
    <font>
      <sz val="11.0"/>
      <color rgb="FF000000"/>
      <name val="Roboto"/>
    </font>
    <font>
      <b/>
      <sz val="11.0"/>
      <color theme="1"/>
      <name val="Arial"/>
      <scheme val="minor"/>
    </font>
    <font>
      <color rgb="FF0000FF"/>
    </font>
    <font>
      <b/>
      <sz val="12.0"/>
      <color theme="1"/>
      <name val="Arial"/>
    </font>
    <font>
      <b/>
      <sz val="12.0"/>
      <color rgb="FF000000"/>
      <name val="Roboto"/>
    </font>
    <font>
      <b/>
      <color rgb="FFFF0000"/>
      <name val="Arial"/>
      <scheme val="minor"/>
    </font>
    <font>
      <sz val="10.0"/>
      <color theme="1"/>
      <name val="Arial"/>
    </font>
    <font>
      <b/>
      <sz val="12.0"/>
      <color rgb="FF00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E5EDFF"/>
        <bgColor rgb="FFE5EDFF"/>
      </patternFill>
    </fill>
    <fill>
      <patternFill patternType="solid">
        <fgColor rgb="FFF3F3F3"/>
        <bgColor rgb="FFF3F3F3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8F9FA"/>
      </left>
      <bottom style="thin">
        <color rgb="FF442F65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shrinkToFit="0" wrapText="0"/>
    </xf>
    <xf borderId="1" fillId="2" fontId="3" numFmtId="0" xfId="0" applyAlignment="1" applyBorder="1" applyFont="1">
      <alignment horizontal="center" shrinkToFit="0" wrapText="0"/>
    </xf>
    <xf borderId="1" fillId="2" fontId="4" numFmtId="0" xfId="0" applyBorder="1" applyFont="1"/>
    <xf borderId="1" fillId="0" fontId="5" numFmtId="0" xfId="0" applyAlignment="1" applyBorder="1" applyFont="1">
      <alignment horizontal="center" readingOrder="0" shrinkToFit="0" wrapText="0"/>
    </xf>
    <xf borderId="1" fillId="3" fontId="3" numFmtId="0" xfId="0" applyAlignment="1" applyBorder="1" applyFill="1" applyFont="1">
      <alignment shrinkToFit="0" wrapText="0"/>
    </xf>
    <xf borderId="1" fillId="3" fontId="3" numFmtId="0" xfId="0" applyAlignment="1" applyBorder="1" applyFont="1">
      <alignment horizontal="center" shrinkToFit="0" wrapText="0"/>
    </xf>
    <xf borderId="1" fillId="3" fontId="6" numFmtId="0" xfId="0" applyAlignment="1" applyBorder="1" applyFont="1">
      <alignment shrinkToFit="0" wrapText="0"/>
    </xf>
    <xf borderId="1" fillId="3" fontId="7" numFmtId="0" xfId="0" applyAlignment="1" applyBorder="1" applyFont="1">
      <alignment horizontal="center" readingOrder="0" shrinkToFit="0" wrapText="0"/>
    </xf>
    <xf borderId="1" fillId="2" fontId="7" numFmtId="0" xfId="0" applyAlignment="1" applyBorder="1" applyFont="1">
      <alignment horizontal="center" readingOrder="0" shrinkToFit="0" wrapText="0"/>
    </xf>
    <xf borderId="1" fillId="4" fontId="3" numFmtId="0" xfId="0" applyAlignment="1" applyBorder="1" applyFill="1" applyFont="1">
      <alignment shrinkToFit="0" wrapText="0"/>
    </xf>
    <xf borderId="1" fillId="3" fontId="3" numFmtId="0" xfId="0" applyAlignment="1" applyBorder="1" applyFont="1">
      <alignment readingOrder="0" shrinkToFit="0" wrapText="0"/>
    </xf>
    <xf borderId="1" fillId="3" fontId="3" numFmtId="0" xfId="0" applyAlignment="1" applyBorder="1" applyFont="1">
      <alignment horizontal="center" readingOrder="0" shrinkToFit="0" wrapText="0"/>
    </xf>
    <xf borderId="1" fillId="2" fontId="6" numFmtId="0" xfId="0" applyAlignment="1" applyBorder="1" applyFont="1">
      <alignment shrinkToFit="0" wrapText="0"/>
    </xf>
    <xf borderId="1" fillId="0" fontId="7" numFmtId="0" xfId="0" applyAlignment="1" applyBorder="1" applyFont="1">
      <alignment horizontal="center" readingOrder="0" shrinkToFit="0" wrapText="0"/>
    </xf>
    <xf borderId="0" fillId="2" fontId="3" numFmtId="0" xfId="0" applyAlignment="1" applyFont="1">
      <alignment shrinkToFit="0" wrapText="0"/>
    </xf>
    <xf borderId="1" fillId="2" fontId="3" numFmtId="0" xfId="0" applyAlignment="1" applyBorder="1" applyFont="1">
      <alignment shrinkToFit="0" wrapText="0"/>
    </xf>
    <xf borderId="1" fillId="2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readingOrder="0" shrinkToFit="0" wrapText="0"/>
    </xf>
    <xf borderId="1" fillId="0" fontId="8" numFmtId="0" xfId="0" applyAlignment="1" applyBorder="1" applyFont="1">
      <alignment readingOrder="0"/>
    </xf>
    <xf borderId="1" fillId="2" fontId="9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center" shrinkToFit="0" wrapText="0"/>
    </xf>
    <xf borderId="1" fillId="2" fontId="5" numFmtId="0" xfId="0" applyAlignment="1" applyBorder="1" applyFont="1">
      <alignment horizontal="center" readingOrder="0" shrinkToFit="0" wrapText="0"/>
    </xf>
    <xf borderId="1" fillId="0" fontId="10" numFmtId="0" xfId="0" applyAlignment="1" applyBorder="1" applyFont="1">
      <alignment readingOrder="0"/>
    </xf>
    <xf borderId="1" fillId="2" fontId="3" numFmtId="0" xfId="0" applyAlignment="1" applyBorder="1" applyFont="1">
      <alignment readingOrder="0" shrinkToFit="0" wrapText="0"/>
    </xf>
    <xf borderId="0" fillId="3" fontId="3" numFmtId="0" xfId="0" applyAlignment="1" applyFont="1">
      <alignment shrinkToFit="0" wrapText="0"/>
    </xf>
    <xf borderId="2" fillId="3" fontId="3" numFmtId="0" xfId="0" applyAlignment="1" applyBorder="1" applyFont="1">
      <alignment shrinkToFit="0" wrapText="0"/>
    </xf>
    <xf borderId="1" fillId="3" fontId="3" numFmtId="0" xfId="0" applyAlignment="1" applyBorder="1" applyFont="1">
      <alignment shrinkToFit="0" wrapText="0"/>
    </xf>
    <xf borderId="1" fillId="3" fontId="4" numFmtId="0" xfId="0" applyBorder="1" applyFont="1"/>
    <xf borderId="1" fillId="3" fontId="9" numFmtId="0" xfId="0" applyAlignment="1" applyBorder="1" applyFont="1">
      <alignment horizontal="center" readingOrder="0"/>
    </xf>
    <xf borderId="1" fillId="2" fontId="6" numFmtId="0" xfId="0" applyAlignment="1" applyBorder="1" applyFont="1">
      <alignment readingOrder="0" shrinkToFit="0" wrapText="0"/>
    </xf>
    <xf borderId="0" fillId="2" fontId="6" numFmtId="0" xfId="0" applyAlignment="1" applyFont="1">
      <alignment shrinkToFit="0" wrapText="0"/>
    </xf>
    <xf borderId="1" fillId="3" fontId="3" numFmtId="0" xfId="0" applyAlignment="1" applyBorder="1" applyFont="1">
      <alignment horizontal="center" shrinkToFit="0" wrapText="0"/>
    </xf>
    <xf borderId="1" fillId="3" fontId="5" numFmtId="0" xfId="0" applyAlignment="1" applyBorder="1" applyFont="1">
      <alignment readingOrder="0" shrinkToFit="0" wrapText="0"/>
    </xf>
    <xf borderId="1" fillId="3" fontId="5" numFmtId="0" xfId="0" applyAlignment="1" applyBorder="1" applyFont="1">
      <alignment shrinkToFit="0" wrapText="0"/>
    </xf>
    <xf borderId="1" fillId="3" fontId="5" numFmtId="0" xfId="0" applyAlignment="1" applyBorder="1" applyFont="1">
      <alignment horizontal="center" readingOrder="0" shrinkToFit="0" wrapText="0"/>
    </xf>
    <xf borderId="0" fillId="3" fontId="5" numFmtId="0" xfId="0" applyAlignment="1" applyFont="1">
      <alignment shrinkToFit="0" wrapText="0"/>
    </xf>
    <xf borderId="1" fillId="3" fontId="5" numFmtId="0" xfId="0" applyAlignment="1" applyBorder="1" applyFont="1">
      <alignment horizontal="center" shrinkToFit="0" wrapText="0"/>
    </xf>
    <xf borderId="1" fillId="2" fontId="5" numFmtId="0" xfId="0" applyAlignment="1" applyBorder="1" applyFont="1">
      <alignment shrinkToFit="0" wrapText="0"/>
    </xf>
    <xf borderId="1" fillId="2" fontId="5" numFmtId="0" xfId="0" applyAlignment="1" applyBorder="1" applyFont="1">
      <alignment horizontal="center" shrinkToFit="0" wrapText="0"/>
    </xf>
    <xf borderId="0" fillId="2" fontId="5" numFmtId="0" xfId="0" applyAlignment="1" applyFont="1">
      <alignment shrinkToFit="0" wrapText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0" numFmtId="0" xfId="0" applyFont="1"/>
    <xf borderId="0" fillId="0" fontId="11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6" numFmtId="0" xfId="0" applyAlignment="1" applyFont="1">
      <alignment readingOrder="0" shrinkToFit="0" wrapText="0"/>
    </xf>
    <xf borderId="0" fillId="0" fontId="11" numFmtId="0" xfId="0" applyAlignment="1" applyFont="1">
      <alignment horizontal="center"/>
    </xf>
    <xf borderId="0" fillId="0" fontId="14" numFmtId="0" xfId="0" applyAlignment="1" applyFont="1">
      <alignment shrinkToFit="0" wrapText="0"/>
    </xf>
    <xf borderId="0" fillId="2" fontId="15" numFmtId="0" xfId="0" applyAlignment="1" applyFill="1" applyFont="1">
      <alignment readingOrder="0" shrinkToFit="0" wrapText="0"/>
    </xf>
    <xf borderId="0" fillId="2" fontId="16" numFmtId="0" xfId="0" applyAlignment="1" applyFont="1">
      <alignment readingOrder="0"/>
    </xf>
    <xf borderId="0" fillId="5" fontId="11" numFmtId="0" xfId="0" applyAlignment="1" applyFill="1" applyFont="1">
      <alignment horizontal="center" readingOrder="0"/>
    </xf>
    <xf borderId="0" fillId="2" fontId="17" numFmtId="0" xfId="0" applyAlignment="1" applyFont="1">
      <alignment readingOrder="0" shrinkToFit="0" wrapText="0"/>
    </xf>
    <xf borderId="0" fillId="2" fontId="18" numFmtId="0" xfId="0" applyAlignment="1" applyFont="1">
      <alignment readingOrder="0"/>
    </xf>
    <xf borderId="0" fillId="6" fontId="10" numFmtId="0" xfId="0" applyAlignment="1" applyFill="1" applyFont="1">
      <alignment readingOrder="0"/>
    </xf>
    <xf borderId="0" fillId="6" fontId="12" numFmtId="0" xfId="0" applyAlignment="1" applyFont="1">
      <alignment readingOrder="0"/>
    </xf>
    <xf borderId="0" fillId="0" fontId="2" numFmtId="0" xfId="0" applyAlignment="1" applyFont="1">
      <alignment readingOrder="0"/>
    </xf>
    <xf borderId="0" fillId="7" fontId="11" numFmtId="0" xfId="0" applyAlignment="1" applyFill="1" applyFont="1">
      <alignment readingOrder="0"/>
    </xf>
    <xf borderId="0" fillId="0" fontId="10" numFmtId="164" xfId="0" applyAlignment="1" applyFont="1" applyNumberFormat="1">
      <alignment horizontal="center" readingOrder="0"/>
    </xf>
    <xf borderId="0" fillId="0" fontId="12" numFmtId="164" xfId="0" applyAlignment="1" applyFont="1" applyNumberFormat="1">
      <alignment horizontal="center" readingOrder="0"/>
    </xf>
    <xf borderId="0" fillId="0" fontId="11" numFmtId="0" xfId="0" applyFont="1"/>
    <xf borderId="0" fillId="6" fontId="10" numFmtId="164" xfId="0" applyAlignment="1" applyFont="1" applyNumberFormat="1">
      <alignment horizontal="center" readingOrder="0"/>
    </xf>
    <xf borderId="0" fillId="2" fontId="19" numFmtId="0" xfId="0" applyAlignment="1" applyFont="1">
      <alignment horizontal="left" readingOrder="0"/>
    </xf>
    <xf borderId="0" fillId="0" fontId="2" numFmtId="164" xfId="0" applyAlignment="1" applyFont="1" applyNumberFormat="1">
      <alignment readingOrder="0"/>
    </xf>
    <xf borderId="0" fillId="0" fontId="11" numFmtId="164" xfId="0" applyAlignment="1" applyFont="1" applyNumberFormat="1">
      <alignment readingOrder="0"/>
    </xf>
    <xf borderId="3" fillId="6" fontId="11" numFmtId="0" xfId="0" applyAlignment="1" applyBorder="1" applyFont="1">
      <alignment readingOrder="0"/>
    </xf>
    <xf borderId="4" fillId="0" fontId="20" numFmtId="0" xfId="0" applyBorder="1" applyFont="1"/>
    <xf borderId="5" fillId="0" fontId="20" numFmtId="0" xfId="0" applyBorder="1" applyFont="1"/>
    <xf borderId="0" fillId="8" fontId="21" numFmtId="0" xfId="0" applyAlignment="1" applyFill="1" applyFont="1">
      <alignment horizontal="center" readingOrder="0"/>
    </xf>
    <xf borderId="0" fillId="0" fontId="22" numFmtId="0" xfId="0" applyAlignment="1" applyFont="1">
      <alignment horizontal="center" readingOrder="0"/>
    </xf>
    <xf borderId="1" fillId="0" fontId="11" numFmtId="0" xfId="0" applyAlignment="1" applyBorder="1" applyFont="1">
      <alignment readingOrder="0"/>
    </xf>
    <xf borderId="1" fillId="0" fontId="11" numFmtId="0" xfId="0" applyAlignment="1" applyBorder="1" applyFont="1">
      <alignment horizontal="center" readingOrder="0"/>
    </xf>
    <xf borderId="1" fillId="0" fontId="23" numFmtId="0" xfId="0" applyAlignment="1" applyBorder="1" applyFont="1">
      <alignment readingOrder="0"/>
    </xf>
    <xf borderId="1" fillId="0" fontId="23" numFmtId="0" xfId="0" applyAlignment="1" applyBorder="1" applyFont="1">
      <alignment horizontal="center" readingOrder="0"/>
    </xf>
    <xf borderId="3" fillId="0" fontId="10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10" numFmtId="0" xfId="0" applyBorder="1" applyFont="1"/>
    <xf borderId="1" fillId="0" fontId="24" numFmtId="165" xfId="0" applyAlignment="1" applyBorder="1" applyFont="1" applyNumberFormat="1">
      <alignment horizontal="center" readingOrder="0" vertical="bottom"/>
    </xf>
    <xf borderId="1" fillId="0" fontId="25" numFmtId="166" xfId="0" applyAlignment="1" applyBorder="1" applyFont="1" applyNumberFormat="1">
      <alignment horizontal="center" readingOrder="0"/>
    </xf>
    <xf borderId="1" fillId="0" fontId="25" numFmtId="0" xfId="0" applyAlignment="1" applyBorder="1" applyFont="1">
      <alignment readingOrder="0"/>
    </xf>
    <xf borderId="1" fillId="0" fontId="25" numFmtId="167" xfId="0" applyAlignment="1" applyBorder="1" applyFont="1" applyNumberFormat="1">
      <alignment horizontal="center" readingOrder="0"/>
    </xf>
    <xf borderId="0" fillId="2" fontId="26" numFmtId="0" xfId="0" applyAlignment="1" applyFont="1">
      <alignment readingOrder="0"/>
    </xf>
    <xf borderId="1" fillId="0" fontId="10" numFmtId="0" xfId="0" applyAlignment="1" applyBorder="1" applyFont="1">
      <alignment horizontal="center" readingOrder="0"/>
    </xf>
    <xf borderId="1" fillId="0" fontId="27" numFmtId="0" xfId="0" applyAlignment="1" applyBorder="1" applyFont="1">
      <alignment readingOrder="0"/>
    </xf>
    <xf borderId="0" fillId="0" fontId="28" numFmtId="0" xfId="0" applyAlignment="1" applyFont="1">
      <alignment readingOrder="0"/>
    </xf>
    <xf borderId="1" fillId="0" fontId="10" numFmtId="0" xfId="0" applyAlignment="1" applyBorder="1" applyFont="1">
      <alignment readingOrder="0" shrinkToFit="0" wrapText="1"/>
    </xf>
    <xf borderId="1" fillId="9" fontId="29" numFmtId="0" xfId="0" applyAlignment="1" applyBorder="1" applyFill="1" applyFont="1">
      <alignment vertical="bottom"/>
    </xf>
    <xf borderId="1" fillId="9" fontId="10" numFmtId="0" xfId="0" applyAlignment="1" applyBorder="1" applyFont="1">
      <alignment horizontal="center"/>
    </xf>
    <xf borderId="1" fillId="9" fontId="10" numFmtId="0" xfId="0" applyBorder="1" applyFont="1"/>
    <xf borderId="1" fillId="9" fontId="2" numFmtId="0" xfId="0" applyBorder="1" applyFont="1"/>
    <xf borderId="0" fillId="2" fontId="19" numFmtId="0" xfId="0" applyFont="1"/>
    <xf borderId="1" fillId="0" fontId="10" numFmtId="0" xfId="0" applyAlignment="1" applyBorder="1" applyFont="1">
      <alignment shrinkToFit="0" wrapText="1"/>
    </xf>
    <xf borderId="1" fillId="0" fontId="30" numFmtId="165" xfId="0" applyAlignment="1" applyBorder="1" applyFont="1" applyNumberFormat="1">
      <alignment horizontal="center" readingOrder="0" vertical="bottom"/>
    </xf>
    <xf borderId="1" fillId="0" fontId="10" numFmtId="166" xfId="0" applyAlignment="1" applyBorder="1" applyFont="1" applyNumberFormat="1">
      <alignment horizontal="center" readingOrder="0"/>
    </xf>
    <xf borderId="1" fillId="0" fontId="10" numFmtId="167" xfId="0" applyAlignment="1" applyBorder="1" applyFont="1" applyNumberFormat="1">
      <alignment horizontal="center" readingOrder="0"/>
    </xf>
    <xf borderId="1" fillId="0" fontId="30" numFmtId="0" xfId="0" applyAlignment="1" applyBorder="1" applyFont="1">
      <alignment vertical="bottom"/>
    </xf>
    <xf borderId="1" fillId="2" fontId="31" numFmtId="0" xfId="0" applyAlignment="1" applyBorder="1" applyFont="1">
      <alignment vertical="bottom"/>
    </xf>
    <xf borderId="1" fillId="0" fontId="30" numFmtId="20" xfId="0" applyAlignment="1" applyBorder="1" applyFont="1" applyNumberFormat="1">
      <alignment horizontal="center" readingOrder="0" vertical="bottom"/>
    </xf>
    <xf borderId="1" fillId="0" fontId="32" numFmtId="0" xfId="0" applyAlignment="1" applyBorder="1" applyFont="1">
      <alignment readingOrder="0" vertical="bottom"/>
    </xf>
    <xf borderId="1" fillId="0" fontId="30" numFmtId="0" xfId="0" applyAlignment="1" applyBorder="1" applyFont="1">
      <alignment vertical="bottom"/>
    </xf>
    <xf borderId="3" fillId="0" fontId="30" numFmtId="0" xfId="0" applyAlignment="1" applyBorder="1" applyFont="1">
      <alignment shrinkToFit="0" vertical="bottom" wrapText="1"/>
    </xf>
    <xf borderId="1" fillId="10" fontId="30" numFmtId="165" xfId="0" applyAlignment="1" applyBorder="1" applyFill="1" applyFont="1" applyNumberFormat="1">
      <alignment horizontal="center" readingOrder="0" vertical="bottom"/>
    </xf>
    <xf borderId="1" fillId="10" fontId="10" numFmtId="166" xfId="0" applyAlignment="1" applyBorder="1" applyFont="1" applyNumberFormat="1">
      <alignment horizontal="center" readingOrder="0"/>
    </xf>
    <xf borderId="1" fillId="10" fontId="10" numFmtId="0" xfId="0" applyAlignment="1" applyBorder="1" applyFont="1">
      <alignment readingOrder="0"/>
    </xf>
    <xf borderId="1" fillId="10" fontId="10" numFmtId="167" xfId="0" applyAlignment="1" applyBorder="1" applyFont="1" applyNumberFormat="1">
      <alignment horizontal="center" readingOrder="0"/>
    </xf>
    <xf borderId="1" fillId="10" fontId="2" numFmtId="0" xfId="0" applyAlignment="1" applyBorder="1" applyFont="1">
      <alignment readingOrder="0"/>
    </xf>
    <xf borderId="1" fillId="10" fontId="10" numFmtId="20" xfId="0" applyAlignment="1" applyBorder="1" applyFont="1" applyNumberFormat="1">
      <alignment horizontal="center" readingOrder="0"/>
    </xf>
    <xf borderId="1" fillId="10" fontId="10" numFmtId="0" xfId="0" applyAlignment="1" applyBorder="1" applyFont="1">
      <alignment horizontal="center" readingOrder="0"/>
    </xf>
    <xf borderId="1" fillId="10" fontId="25" numFmtId="0" xfId="0" applyAlignment="1" applyBorder="1" applyFont="1">
      <alignment readingOrder="0"/>
    </xf>
    <xf borderId="1" fillId="0" fontId="30" numFmtId="0" xfId="0" applyAlignment="1" applyBorder="1" applyFont="1">
      <alignment readingOrder="0" vertical="bottom"/>
    </xf>
    <xf borderId="0" fillId="2" fontId="33" numFmtId="0" xfId="0" applyAlignment="1" applyFont="1">
      <alignment vertical="bottom"/>
    </xf>
    <xf borderId="1" fillId="11" fontId="30" numFmtId="0" xfId="0" applyAlignment="1" applyBorder="1" applyFill="1" applyFont="1">
      <alignment horizontal="center" readingOrder="0" vertical="bottom"/>
    </xf>
    <xf borderId="1" fillId="11" fontId="10" numFmtId="166" xfId="0" applyAlignment="1" applyBorder="1" applyFont="1" applyNumberFormat="1">
      <alignment horizontal="center" readingOrder="0"/>
    </xf>
    <xf borderId="1" fillId="11" fontId="10" numFmtId="0" xfId="0" applyAlignment="1" applyBorder="1" applyFont="1">
      <alignment readingOrder="0"/>
    </xf>
    <xf borderId="1" fillId="11" fontId="10" numFmtId="167" xfId="0" applyAlignment="1" applyBorder="1" applyFont="1" applyNumberFormat="1">
      <alignment horizontal="center" readingOrder="0"/>
    </xf>
    <xf borderId="1" fillId="11" fontId="2" numFmtId="0" xfId="0" applyAlignment="1" applyBorder="1" applyFont="1">
      <alignment readingOrder="0"/>
    </xf>
    <xf borderId="1" fillId="11" fontId="10" numFmtId="20" xfId="0" applyAlignment="1" applyBorder="1" applyFont="1" applyNumberFormat="1">
      <alignment horizontal="center" readingOrder="0"/>
    </xf>
    <xf borderId="1" fillId="11" fontId="10" numFmtId="0" xfId="0" applyAlignment="1" applyBorder="1" applyFont="1">
      <alignment horizontal="center" readingOrder="0"/>
    </xf>
    <xf borderId="1" fillId="11" fontId="10" numFmtId="0" xfId="0" applyAlignment="1" applyBorder="1" applyFont="1">
      <alignment readingOrder="0"/>
    </xf>
    <xf borderId="1" fillId="11" fontId="10" numFmtId="0" xfId="0" applyBorder="1" applyFont="1"/>
    <xf borderId="0" fillId="2" fontId="34" numFmtId="0" xfId="0" applyAlignment="1" applyFont="1">
      <alignment readingOrder="0"/>
    </xf>
    <xf borderId="0" fillId="10" fontId="26" numFmtId="0" xfId="0" applyAlignment="1" applyFont="1">
      <alignment readingOrder="0"/>
    </xf>
    <xf borderId="1" fillId="10" fontId="10" numFmtId="0" xfId="0" applyAlignment="1" applyBorder="1" applyFont="1">
      <alignment readingOrder="0"/>
    </xf>
    <xf borderId="1" fillId="0" fontId="10" numFmtId="20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readingOrder="0"/>
    </xf>
    <xf borderId="1" fillId="11" fontId="29" numFmtId="0" xfId="0" applyAlignment="1" applyBorder="1" applyFont="1">
      <alignment vertical="bottom"/>
    </xf>
    <xf borderId="1" fillId="11" fontId="10" numFmtId="0" xfId="0" applyAlignment="1" applyBorder="1" applyFont="1">
      <alignment horizontal="center"/>
    </xf>
    <xf borderId="1" fillId="11" fontId="2" numFmtId="0" xfId="0" applyBorder="1" applyFont="1"/>
    <xf borderId="1" fillId="0" fontId="35" numFmtId="0" xfId="0" applyAlignment="1" applyBorder="1" applyFont="1">
      <alignment readingOrder="0"/>
    </xf>
    <xf borderId="3" fillId="0" fontId="10" numFmtId="0" xfId="0" applyAlignment="1" applyBorder="1" applyFont="1">
      <alignment readingOrder="0" shrinkToFit="0" wrapText="1"/>
    </xf>
    <xf borderId="1" fillId="9" fontId="30" numFmtId="165" xfId="0" applyAlignment="1" applyBorder="1" applyFont="1" applyNumberFormat="1">
      <alignment horizontal="center" readingOrder="0" vertical="bottom"/>
    </xf>
    <xf borderId="1" fillId="9" fontId="10" numFmtId="0" xfId="0" applyAlignment="1" applyBorder="1" applyFont="1">
      <alignment horizontal="center" readingOrder="0"/>
    </xf>
    <xf borderId="1" fillId="9" fontId="10" numFmtId="0" xfId="0" applyAlignment="1" applyBorder="1" applyFont="1">
      <alignment readingOrder="0"/>
    </xf>
    <xf borderId="1" fillId="9" fontId="10" numFmtId="167" xfId="0" applyAlignment="1" applyBorder="1" applyFont="1" applyNumberFormat="1">
      <alignment horizontal="center" readingOrder="0"/>
    </xf>
    <xf borderId="1" fillId="9" fontId="2" numFmtId="0" xfId="0" applyAlignment="1" applyBorder="1" applyFont="1">
      <alignment readingOrder="0"/>
    </xf>
    <xf borderId="1" fillId="9" fontId="10" numFmtId="20" xfId="0" applyAlignment="1" applyBorder="1" applyFont="1" applyNumberFormat="1">
      <alignment horizontal="center" readingOrder="0"/>
    </xf>
    <xf borderId="1" fillId="9" fontId="10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36" numFmtId="0" xfId="0" applyAlignment="1" applyFont="1">
      <alignment readingOrder="0"/>
    </xf>
    <xf borderId="0" fillId="2" fontId="31" numFmtId="0" xfId="0" applyAlignment="1" applyFont="1">
      <alignment readingOrder="0"/>
    </xf>
    <xf borderId="0" fillId="2" fontId="3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9" numFmtId="0" xfId="0" applyAlignment="1" applyFont="1">
      <alignment readingOrder="0" vertical="bottom"/>
    </xf>
    <xf borderId="0" fillId="6" fontId="37" numFmtId="168" xfId="0" applyAlignment="1" applyFont="1" applyNumberFormat="1">
      <alignment horizontal="right" readingOrder="0" vertical="bottom"/>
    </xf>
    <xf borderId="0" fillId="0" fontId="29" numFmtId="165" xfId="0" applyAlignment="1" applyFont="1" applyNumberFormat="1">
      <alignment vertical="bottom"/>
    </xf>
    <xf borderId="0" fillId="0" fontId="29" numFmtId="0" xfId="0" applyAlignment="1" applyFont="1">
      <alignment readingOrder="0" shrinkToFit="0" vertical="bottom" wrapText="0"/>
    </xf>
    <xf borderId="0" fillId="2" fontId="29" numFmtId="0" xfId="0" applyAlignment="1" applyFont="1">
      <alignment vertical="bottom"/>
    </xf>
    <xf borderId="0" fillId="0" fontId="29" numFmtId="0" xfId="0" applyAlignment="1" applyFont="1">
      <alignment vertical="bottom"/>
    </xf>
    <xf borderId="0" fillId="2" fontId="38" numFmtId="20" xfId="0" applyAlignment="1" applyFont="1" applyNumberFormat="1">
      <alignment horizontal="center" readingOrder="0" vertical="bottom"/>
    </xf>
    <xf borderId="0" fillId="2" fontId="1" numFmtId="20" xfId="0" applyAlignment="1" applyFont="1" applyNumberFormat="1">
      <alignment readingOrder="0" vertical="bottom"/>
    </xf>
    <xf borderId="0" fillId="2" fontId="39" numFmtId="0" xfId="0" applyAlignment="1" applyFont="1">
      <alignment horizontal="center" vertical="bottom"/>
    </xf>
    <xf borderId="0" fillId="0" fontId="38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6" fillId="0" fontId="29" numFmtId="0" xfId="0" applyAlignment="1" applyBorder="1" applyFont="1">
      <alignment readingOrder="0" vertical="bottom"/>
    </xf>
    <xf borderId="1" fillId="0" fontId="29" numFmtId="0" xfId="0" applyAlignment="1" applyBorder="1" applyFont="1">
      <alignment readingOrder="0" vertical="bottom"/>
    </xf>
    <xf borderId="7" fillId="0" fontId="29" numFmtId="0" xfId="0" applyAlignment="1" applyBorder="1" applyFont="1">
      <alignment vertical="bottom"/>
    </xf>
    <xf borderId="0" fillId="6" fontId="2" numFmtId="0" xfId="0" applyAlignment="1" applyFont="1">
      <alignment readingOrder="0"/>
    </xf>
    <xf borderId="8" fillId="11" fontId="29" numFmtId="0" xfId="0" applyAlignment="1" applyBorder="1" applyFont="1">
      <alignment vertical="bottom"/>
    </xf>
    <xf borderId="6" fillId="11" fontId="29" numFmtId="0" xfId="0" applyAlignment="1" applyBorder="1" applyFont="1">
      <alignment vertical="bottom"/>
    </xf>
    <xf borderId="6" fillId="11" fontId="1" numFmtId="0" xfId="0" applyAlignment="1" applyBorder="1" applyFont="1">
      <alignment vertical="bottom"/>
    </xf>
    <xf borderId="6" fillId="11" fontId="1" numFmtId="0" xfId="0" applyAlignment="1" applyBorder="1" applyFont="1">
      <alignment readingOrder="0" shrinkToFit="0" vertical="bottom" wrapText="1"/>
    </xf>
    <xf borderId="6" fillId="9" fontId="1" numFmtId="0" xfId="0" applyAlignment="1" applyBorder="1" applyFont="1">
      <alignment shrinkToFit="0" vertical="bottom" wrapText="1"/>
    </xf>
    <xf borderId="8" fillId="0" fontId="29" numFmtId="0" xfId="0" applyAlignment="1" applyBorder="1" applyFont="1">
      <alignment horizontal="right" vertical="bottom"/>
    </xf>
    <xf borderId="6" fillId="0" fontId="29" numFmtId="0" xfId="0" applyAlignment="1" applyBorder="1" applyFont="1">
      <alignment horizontal="right" readingOrder="0" vertical="bottom"/>
    </xf>
    <xf borderId="6" fillId="0" fontId="29" numFmtId="0" xfId="0" applyAlignment="1" applyBorder="1" applyFont="1">
      <alignment vertical="bottom"/>
    </xf>
    <xf borderId="0" fillId="6" fontId="11" numFmtId="0" xfId="0" applyAlignment="1" applyFont="1">
      <alignment readingOrder="0"/>
    </xf>
    <xf borderId="0" fillId="6" fontId="2" numFmtId="0" xfId="0" applyFont="1"/>
    <xf borderId="0" fillId="6" fontId="11" numFmtId="0" xfId="0" applyFont="1"/>
    <xf borderId="1" fillId="2" fontId="5" numFmtId="0" xfId="0" applyAlignment="1" applyBorder="1" applyFont="1">
      <alignment horizontal="right" shrinkToFit="0" wrapText="0"/>
    </xf>
    <xf borderId="0" fillId="2" fontId="5" numFmtId="0" xfId="0" applyAlignment="1" applyFont="1">
      <alignment horizontal="center" readingOrder="0" shrinkToFit="0" wrapText="0"/>
    </xf>
    <xf borderId="1" fillId="3" fontId="5" numFmtId="0" xfId="0" applyAlignment="1" applyBorder="1" applyFont="1">
      <alignment horizontal="right" shrinkToFit="0" wrapText="0"/>
    </xf>
    <xf borderId="0" fillId="3" fontId="5" numFmtId="0" xfId="0" applyAlignment="1" applyFont="1">
      <alignment horizontal="center" readingOrder="0" shrinkToFit="0" wrapText="0"/>
    </xf>
    <xf borderId="1" fillId="2" fontId="5" numFmtId="0" xfId="0" applyAlignment="1" applyBorder="1" applyFont="1">
      <alignment readingOrder="0" shrinkToFit="0" wrapText="0"/>
    </xf>
    <xf borderId="1" fillId="0" fontId="29" numFmtId="0" xfId="0" applyAlignment="1" applyBorder="1" applyFont="1">
      <alignment horizontal="right" readingOrder="0" vertical="bottom"/>
    </xf>
    <xf borderId="1" fillId="0" fontId="29" numFmtId="0" xfId="0" applyAlignment="1" applyBorder="1" applyFont="1">
      <alignment readingOrder="0" shrinkToFit="0" vertical="bottom" wrapText="0"/>
    </xf>
    <xf borderId="0" fillId="2" fontId="5" numFmtId="0" xfId="0" applyAlignment="1" applyFont="1">
      <alignment horizontal="right" shrinkToFit="0" wrapText="0"/>
    </xf>
    <xf borderId="0" fillId="3" fontId="5" numFmtId="0" xfId="0" applyAlignment="1" applyFont="1">
      <alignment readingOrder="0" shrinkToFit="0" wrapText="0"/>
    </xf>
    <xf borderId="0" fillId="3" fontId="5" numFmtId="0" xfId="0" applyAlignment="1" applyFont="1">
      <alignment horizontal="right" readingOrder="0" shrinkToFit="0" wrapText="0"/>
    </xf>
    <xf borderId="0" fillId="0" fontId="29" numFmtId="0" xfId="0" applyAlignment="1" applyFont="1">
      <alignment horizontal="right" readingOrder="0" vertical="bottom"/>
    </xf>
    <xf borderId="0" fillId="3" fontId="5" numFmtId="0" xfId="0" applyAlignment="1" applyFont="1">
      <alignment horizontal="right" shrinkToFit="0" wrapText="0"/>
    </xf>
    <xf borderId="0" fillId="0" fontId="29" numFmtId="0" xfId="0" applyAlignment="1" applyFont="1">
      <alignment horizontal="right" vertical="bottom"/>
    </xf>
    <xf borderId="0" fillId="0" fontId="29" numFmtId="0" xfId="0" applyAlignment="1" applyFont="1">
      <alignment shrinkToFit="0" vertical="bottom" wrapText="0"/>
    </xf>
    <xf borderId="0" fillId="0" fontId="1" numFmtId="0" xfId="0" applyAlignment="1" applyFont="1">
      <alignment horizontal="right" vertical="bottom"/>
    </xf>
    <xf borderId="0" fillId="0" fontId="40" numFmtId="0" xfId="0" applyAlignment="1" applyFont="1">
      <alignment shrinkToFit="0" vertical="bottom" wrapText="0"/>
    </xf>
    <xf borderId="1" fillId="3" fontId="5" numFmtId="0" xfId="0" applyAlignment="1" applyBorder="1" applyFont="1">
      <alignment horizontal="right" readingOrder="0" shrinkToFit="0" wrapText="0"/>
    </xf>
    <xf borderId="0" fillId="3" fontId="5" numFmtId="0" xfId="0" applyAlignment="1" applyFont="1">
      <alignment horizontal="center" shrinkToFit="0" wrapText="0"/>
    </xf>
    <xf borderId="0" fillId="3" fontId="5" numFmtId="0" xfId="0" applyAlignment="1" applyFont="1">
      <alignment horizontal="center" readingOrder="0" shrinkToFit="0" wrapText="0"/>
    </xf>
    <xf borderId="0" fillId="2" fontId="5" numFmtId="0" xfId="0" applyAlignment="1" applyFont="1">
      <alignment horizontal="center" readingOrder="0" shrinkToFit="0" wrapText="0"/>
    </xf>
    <xf borderId="1" fillId="0" fontId="19" numFmtId="0" xfId="0" applyAlignment="1" applyBorder="1" applyFont="1">
      <alignment vertical="bottom"/>
    </xf>
    <xf borderId="1" fillId="0" fontId="19" numFmtId="0" xfId="0" applyAlignment="1" applyBorder="1" applyFont="1">
      <alignment horizontal="right" vertical="bottom"/>
    </xf>
    <xf borderId="0" fillId="0" fontId="19" numFmtId="0" xfId="0" applyAlignment="1" applyFont="1">
      <alignment horizontal="center" vertical="bottom"/>
    </xf>
    <xf borderId="9" fillId="3" fontId="5" numFmtId="0" xfId="0" applyAlignment="1" applyBorder="1" applyFont="1">
      <alignment horizontal="right" shrinkToFit="0" wrapText="0"/>
    </xf>
    <xf borderId="1" fillId="2" fontId="5" numFmtId="0" xfId="0" applyAlignment="1" applyBorder="1" applyFont="1">
      <alignment horizontal="right" readingOrder="0" shrinkToFit="0" wrapText="0"/>
    </xf>
    <xf borderId="1" fillId="12" fontId="1" numFmtId="0" xfId="0" applyAlignment="1" applyBorder="1" applyFill="1" applyFont="1">
      <alignment vertical="bottom"/>
    </xf>
    <xf borderId="0" fillId="12" fontId="11" numFmtId="0" xfId="0" applyAlignment="1" applyFont="1">
      <alignment readingOrder="0"/>
    </xf>
    <xf borderId="0" fillId="12" fontId="11" numFmtId="0" xfId="0" applyAlignment="1" applyFont="1">
      <alignment readingOrder="0" shrinkToFit="0" wrapText="1"/>
    </xf>
    <xf borderId="0" fillId="12" fontId="36" numFmtId="0" xfId="0" applyAlignment="1" applyFont="1">
      <alignment readingOrder="0" shrinkToFit="0" wrapText="1"/>
    </xf>
    <xf borderId="0" fillId="12" fontId="2" numFmtId="0" xfId="0" applyFont="1"/>
    <xf borderId="1" fillId="0" fontId="2" numFmtId="0" xfId="0" applyAlignment="1" applyBorder="1" applyFont="1">
      <alignment horizontal="center" readingOrder="0"/>
    </xf>
    <xf borderId="1" fillId="13" fontId="2" numFmtId="0" xfId="0" applyBorder="1" applyFill="1" applyFont="1"/>
    <xf borderId="0" fillId="2" fontId="41" numFmtId="0" xfId="0" applyAlignment="1" applyFont="1">
      <alignment horizontal="center" readingOrder="0" shrinkToFit="0" wrapText="0"/>
    </xf>
    <xf borderId="1" fillId="13" fontId="2" numFmtId="0" xfId="0" applyAlignment="1" applyBorder="1" applyFont="1">
      <alignment readingOrder="0"/>
    </xf>
    <xf borderId="1" fillId="2" fontId="5" numFmtId="0" xfId="0" applyAlignment="1" applyBorder="1" applyFont="1">
      <alignment shrinkToFit="0" wrapText="0"/>
    </xf>
    <xf borderId="1" fillId="2" fontId="5" numFmtId="0" xfId="0" applyAlignment="1" applyBorder="1" applyFont="1">
      <alignment horizontal="right" shrinkToFit="0" wrapText="0"/>
    </xf>
    <xf borderId="0" fillId="2" fontId="5" numFmtId="0" xfId="0" applyAlignment="1" applyFont="1">
      <alignment horizontal="center" readingOrder="0" shrinkToFit="0" wrapText="0"/>
    </xf>
    <xf borderId="1" fillId="2" fontId="5" numFmtId="0" xfId="0" applyAlignment="1" applyBorder="1" applyFont="1">
      <alignment horizontal="center" readingOrder="0" shrinkToFit="0" wrapText="0"/>
    </xf>
    <xf borderId="1" fillId="2" fontId="2" numFmtId="0" xfId="0" applyBorder="1" applyFont="1"/>
    <xf borderId="1" fillId="2" fontId="2" numFmtId="0" xfId="0" applyAlignment="1" applyBorder="1" applyFont="1">
      <alignment horizontal="center" readingOrder="0"/>
    </xf>
    <xf borderId="0" fillId="2" fontId="2" numFmtId="0" xfId="0" applyFont="1"/>
    <xf borderId="0" fillId="0" fontId="19" numFmtId="0" xfId="0" applyAlignment="1" applyFont="1">
      <alignment horizontal="center" readingOrder="0" vertical="bottom"/>
    </xf>
    <xf borderId="1" fillId="0" fontId="19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/>
    </xf>
    <xf borderId="1" fillId="2" fontId="5" numFmtId="0" xfId="0" applyAlignment="1" applyBorder="1" applyFont="1">
      <alignment horizontal="center" readingOrder="0" shrinkToFit="0" wrapText="0"/>
    </xf>
    <xf borderId="1" fillId="13" fontId="42" numFmtId="0" xfId="0" applyBorder="1" applyFont="1"/>
    <xf borderId="1" fillId="14" fontId="2" numFmtId="0" xfId="0" applyBorder="1" applyFill="1" applyFont="1"/>
    <xf borderId="0" fillId="15" fontId="43" numFmtId="0" xfId="0" applyFill="1" applyFont="1"/>
    <xf borderId="1" fillId="0" fontId="38" numFmtId="0" xfId="0" applyAlignment="1" applyBorder="1" applyFont="1">
      <alignment vertical="bottom"/>
    </xf>
    <xf borderId="1" fillId="0" fontId="44" numFmtId="164" xfId="0" applyAlignment="1" applyBorder="1" applyFont="1" applyNumberFormat="1">
      <alignment horizontal="center" readingOrder="0"/>
    </xf>
    <xf borderId="1" fillId="16" fontId="3" numFmtId="0" xfId="0" applyAlignment="1" applyBorder="1" applyFill="1" applyFont="1">
      <alignment readingOrder="0" shrinkToFit="0" wrapText="0"/>
    </xf>
    <xf borderId="1" fillId="16" fontId="3" numFmtId="0" xfId="0" applyAlignment="1" applyBorder="1" applyFont="1">
      <alignment horizontal="center" readingOrder="0" shrinkToFit="0" wrapText="0"/>
    </xf>
    <xf borderId="1" fillId="16" fontId="3" numFmtId="0" xfId="0" applyAlignment="1" applyBorder="1" applyFont="1">
      <alignment horizontal="center" readingOrder="0" shrinkToFit="0" wrapText="0"/>
    </xf>
    <xf borderId="1" fillId="16" fontId="3" numFmtId="0" xfId="0" applyAlignment="1" applyBorder="1" applyFont="1">
      <alignment horizontal="center" readingOrder="0" shrinkToFit="0" wrapText="0"/>
    </xf>
    <xf borderId="1" fillId="16" fontId="2" numFmtId="0" xfId="0" applyBorder="1" applyFont="1"/>
    <xf borderId="1" fillId="0" fontId="3" numFmtId="0" xfId="0" applyAlignment="1" applyBorder="1" applyFont="1">
      <alignment shrinkToFit="0" wrapText="0"/>
    </xf>
    <xf borderId="1" fillId="0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 shrinkToFit="0" wrapText="0"/>
    </xf>
    <xf borderId="1" fillId="16" fontId="3" numFmtId="0" xfId="0" applyAlignment="1" applyBorder="1" applyFont="1">
      <alignment shrinkToFit="0" wrapText="0"/>
    </xf>
    <xf borderId="1" fillId="16" fontId="3" numFmtId="0" xfId="0" applyAlignment="1" applyBorder="1" applyFont="1">
      <alignment horizontal="center" shrinkToFit="0" wrapText="0"/>
    </xf>
    <xf borderId="1" fillId="16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center" readingOrder="0" shrinkToFit="0" wrapText="0"/>
    </xf>
    <xf borderId="1" fillId="16" fontId="6" numFmtId="0" xfId="0" applyAlignment="1" applyBorder="1" applyFont="1">
      <alignment readingOrder="0" shrinkToFit="0" wrapText="0"/>
    </xf>
    <xf borderId="1" fillId="16" fontId="3" numFmtId="0" xfId="0" applyAlignment="1" applyBorder="1" applyFont="1">
      <alignment shrinkToFit="0" wrapText="0"/>
    </xf>
    <xf borderId="1" fillId="16" fontId="3" numFmtId="0" xfId="0" applyAlignment="1" applyBorder="1" applyFont="1">
      <alignment horizontal="center" shrinkToFit="0" wrapText="0"/>
    </xf>
    <xf borderId="1" fillId="16" fontId="6" numFmtId="0" xfId="0" applyAlignment="1" applyBorder="1" applyFont="1">
      <alignment shrinkToFit="0" wrapText="0"/>
    </xf>
    <xf borderId="1" fillId="0" fontId="3" numFmtId="0" xfId="0" applyAlignment="1" applyBorder="1" applyFont="1">
      <alignment shrinkToFit="0" wrapText="0"/>
    </xf>
    <xf borderId="1" fillId="0" fontId="3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shrinkToFit="0" wrapText="0"/>
    </xf>
    <xf borderId="1" fillId="0" fontId="6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horizontal="center" shrinkToFit="0" wrapText="0"/>
    </xf>
    <xf borderId="1" fillId="16" fontId="3" numFmtId="0" xfId="0" applyAlignment="1" applyBorder="1" applyFont="1">
      <alignment horizontal="center" readingOrder="0" shrinkToFit="0" wrapText="0"/>
    </xf>
    <xf borderId="1" fillId="16" fontId="2" numFmtId="0" xfId="0" applyAlignment="1" applyBorder="1" applyFont="1">
      <alignment horizontal="center"/>
    </xf>
    <xf borderId="1" fillId="16" fontId="2" numFmtId="0" xfId="0" applyAlignment="1" applyBorder="1" applyFont="1">
      <alignment horizontal="center" readingOrder="0"/>
    </xf>
    <xf borderId="1" fillId="16" fontId="6" numFmtId="0" xfId="0" applyAlignment="1" applyBorder="1" applyFont="1">
      <alignment horizontal="center" shrinkToFit="0" wrapText="0"/>
    </xf>
    <xf borderId="1" fillId="16" fontId="6" numFmtId="0" xfId="0" applyAlignment="1" applyBorder="1" applyFont="1">
      <alignment horizontal="center" shrinkToFit="0" wrapText="0"/>
    </xf>
    <xf borderId="0" fillId="12" fontId="11" numFmtId="164" xfId="0" applyAlignment="1" applyFont="1" applyNumberFormat="1">
      <alignment readingOrder="0" shrinkToFit="0" wrapText="1"/>
    </xf>
    <xf borderId="1" fillId="2" fontId="19" numFmtId="0" xfId="0" applyBorder="1" applyFont="1"/>
    <xf borderId="1" fillId="3" fontId="19" numFmtId="0" xfId="0" applyBorder="1" applyFont="1"/>
    <xf borderId="1" fillId="2" fontId="45" numFmtId="0" xfId="0" applyAlignment="1" applyBorder="1" applyFont="1">
      <alignment readingOrder="0" shrinkToFit="0" wrapText="0"/>
    </xf>
    <xf borderId="1" fillId="2" fontId="3" numFmtId="0" xfId="0" applyAlignment="1" applyBorder="1" applyFont="1">
      <alignment shrinkToFit="0" wrapText="0"/>
    </xf>
    <xf borderId="1" fillId="0" fontId="4" numFmtId="0" xfId="0" applyAlignment="1" applyBorder="1" applyFont="1">
      <alignment vertical="bottom"/>
    </xf>
    <xf borderId="1" fillId="0" fontId="19" numFmtId="0" xfId="0" applyAlignment="1" applyBorder="1" applyFont="1">
      <alignment horizontal="center" readingOrder="0" vertical="bottom"/>
    </xf>
    <xf borderId="0" fillId="0" fontId="19" numFmtId="0" xfId="0" applyAlignment="1" applyFont="1">
      <alignment vertical="bottom"/>
    </xf>
    <xf borderId="0" fillId="0" fontId="46" numFmtId="0" xfId="0" applyAlignment="1" applyFont="1">
      <alignment readingOrder="0" shrinkToFit="0" wrapText="1"/>
    </xf>
    <xf borderId="0" fillId="0" fontId="46" numFmtId="0" xfId="0" applyAlignment="1" applyFont="1">
      <alignment readingOrder="0"/>
    </xf>
    <xf borderId="0" fillId="0" fontId="44" numFmtId="0" xfId="0" applyAlignment="1" applyFont="1">
      <alignment readingOrder="0"/>
    </xf>
    <xf borderId="0" fillId="0" fontId="2" numFmtId="169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47" numFmtId="0" xfId="0" applyAlignment="1" applyFont="1">
      <alignment readingOrder="0" shrinkToFit="0" wrapText="1"/>
    </xf>
    <xf borderId="3" fillId="0" fontId="48" numFmtId="0" xfId="0" applyAlignment="1" applyBorder="1" applyFont="1">
      <alignment readingOrder="0" shrinkToFit="0" vertical="top" wrapText="1"/>
    </xf>
    <xf borderId="0" fillId="9" fontId="2" numFmtId="0" xfId="0" applyFont="1"/>
    <xf borderId="0" fillId="0" fontId="1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9" fontId="2" numFmtId="0" xfId="0" applyAlignment="1" applyFont="1">
      <alignment readingOrder="0" shrinkToFit="0" wrapText="1"/>
    </xf>
    <xf borderId="2" fillId="0" fontId="2" numFmtId="0" xfId="0" applyBorder="1" applyFont="1"/>
    <xf borderId="0" fillId="0" fontId="48" numFmtId="0" xfId="0" applyAlignment="1" applyFont="1">
      <alignment readingOrder="0"/>
    </xf>
    <xf borderId="1" fillId="0" fontId="48" numFmtId="0" xfId="0" applyAlignment="1" applyBorder="1" applyFont="1">
      <alignment readingOrder="0"/>
    </xf>
    <xf borderId="1" fillId="0" fontId="48" numFmtId="166" xfId="0" applyAlignment="1" applyBorder="1" applyFont="1" applyNumberFormat="1">
      <alignment readingOrder="0"/>
    </xf>
    <xf borderId="1" fillId="2" fontId="49" numFmtId="0" xfId="0" applyAlignment="1" applyBorder="1" applyFont="1">
      <alignment horizontal="center" readingOrder="0" shrinkToFit="0" vertical="bottom" wrapText="0"/>
    </xf>
    <xf borderId="0" fillId="2" fontId="49" numFmtId="0" xfId="0" applyAlignment="1" applyFont="1">
      <alignment horizontal="center" readingOrder="0" shrinkToFit="0" vertical="bottom" wrapText="0"/>
    </xf>
    <xf borderId="10" fillId="0" fontId="2" numFmtId="0" xfId="0" applyAlignment="1" applyBorder="1" applyFont="1">
      <alignment readingOrder="0"/>
    </xf>
    <xf borderId="11" fillId="9" fontId="2" numFmtId="0" xfId="0" applyBorder="1" applyFont="1"/>
    <xf borderId="11" fillId="0" fontId="30" numFmtId="0" xfId="0" applyAlignment="1" applyBorder="1" applyFont="1">
      <alignment readingOrder="0"/>
    </xf>
    <xf borderId="12" fillId="0" fontId="30" numFmtId="0" xfId="0" applyAlignment="1" applyBorder="1" applyFont="1">
      <alignment readingOrder="0"/>
    </xf>
    <xf borderId="12" fillId="0" fontId="30" numFmtId="0" xfId="0" applyBorder="1" applyFont="1"/>
    <xf borderId="0" fillId="0" fontId="30" numFmtId="0" xfId="0" applyFont="1"/>
    <xf borderId="1" fillId="3" fontId="5" numFmtId="0" xfId="0" applyAlignment="1" applyBorder="1" applyFont="1">
      <alignment shrinkToFit="0" wrapText="0"/>
    </xf>
    <xf borderId="1" fillId="3" fontId="49" numFmtId="0" xfId="0" applyAlignment="1" applyBorder="1" applyFont="1">
      <alignment horizontal="center" readingOrder="0" shrinkToFit="0" vertical="bottom" wrapText="0"/>
    </xf>
    <xf borderId="0" fillId="3" fontId="49" numFmtId="0" xfId="0" applyAlignment="1" applyFont="1">
      <alignment horizontal="center" readingOrder="0" shrinkToFit="0" vertical="bottom" wrapText="0"/>
    </xf>
    <xf borderId="13" fillId="0" fontId="2" numFmtId="0" xfId="0" applyAlignment="1" applyBorder="1" applyFont="1">
      <alignment readingOrder="0"/>
    </xf>
    <xf borderId="2" fillId="9" fontId="2" numFmtId="0" xfId="0" applyAlignment="1" applyBorder="1" applyFont="1">
      <alignment readingOrder="0"/>
    </xf>
    <xf borderId="2" fillId="0" fontId="30" numFmtId="0" xfId="0" applyBorder="1" applyFont="1"/>
    <xf borderId="0" fillId="0" fontId="30" numFmtId="0" xfId="0" applyAlignment="1" applyFont="1">
      <alignment readingOrder="0"/>
    </xf>
    <xf borderId="0" fillId="0" fontId="50" numFmtId="0" xfId="0" applyAlignment="1" applyFont="1">
      <alignment readingOrder="0" shrinkToFit="0" vertical="top" wrapText="1"/>
    </xf>
    <xf borderId="2" fillId="9" fontId="2" numFmtId="0" xfId="0" applyBorder="1" applyFont="1"/>
    <xf borderId="12" fillId="0" fontId="30" numFmtId="0" xfId="0" applyAlignment="1" applyBorder="1" applyFont="1">
      <alignment readingOrder="0" shrinkToFit="0" vertical="bottom" wrapText="1"/>
    </xf>
    <xf borderId="0" fillId="0" fontId="48" numFmtId="0" xfId="0" applyAlignment="1" applyFont="1">
      <alignment vertical="bottom"/>
    </xf>
    <xf borderId="0" fillId="0" fontId="48" numFmtId="0" xfId="0" applyAlignment="1" applyFont="1">
      <alignment horizontal="center" vertical="bottom"/>
    </xf>
    <xf borderId="11" fillId="0" fontId="30" numFmtId="0" xfId="0" applyAlignment="1" applyBorder="1" applyFont="1">
      <alignment readingOrder="0" vertical="top"/>
    </xf>
    <xf borderId="12" fillId="0" fontId="30" numFmtId="0" xfId="0" applyAlignment="1" applyBorder="1" applyFont="1">
      <alignment readingOrder="0" vertical="bottom"/>
    </xf>
    <xf borderId="12" fillId="0" fontId="29" numFmtId="0" xfId="0" applyAlignment="1" applyBorder="1" applyFont="1">
      <alignment vertical="bottom"/>
    </xf>
    <xf borderId="12" fillId="0" fontId="30" numFmtId="0" xfId="0" applyAlignment="1" applyBorder="1" applyFont="1">
      <alignment shrinkToFit="0" vertical="bottom" wrapText="1"/>
    </xf>
    <xf borderId="0" fillId="3" fontId="49" numFmtId="0" xfId="0" applyAlignment="1" applyFont="1">
      <alignment horizontal="center" shrinkToFit="0" vertical="bottom" wrapText="0"/>
    </xf>
    <xf borderId="2" fillId="0" fontId="20" numFmtId="0" xfId="0" applyBorder="1" applyFont="1"/>
    <xf borderId="13" fillId="0" fontId="11" numFmtId="0" xfId="0" applyAlignment="1" applyBorder="1" applyFont="1">
      <alignment readingOrder="0"/>
    </xf>
    <xf borderId="11" fillId="0" fontId="51" numFmtId="0" xfId="0" applyAlignment="1" applyBorder="1" applyFont="1">
      <alignment readingOrder="0"/>
    </xf>
    <xf borderId="12" fillId="0" fontId="48" numFmtId="0" xfId="0" applyAlignment="1" applyBorder="1" applyFont="1">
      <alignment vertical="bottom"/>
    </xf>
    <xf borderId="2" fillId="0" fontId="30" numFmtId="0" xfId="0" applyAlignment="1" applyBorder="1" applyFont="1">
      <alignment readingOrder="0"/>
    </xf>
    <xf borderId="0" fillId="9" fontId="11" numFmtId="0" xfId="0" applyFont="1"/>
    <xf borderId="1" fillId="2" fontId="49" numFmtId="0" xfId="0" applyAlignment="1" applyBorder="1" applyFont="1">
      <alignment horizontal="center" shrinkToFit="0" vertical="bottom" wrapText="0"/>
    </xf>
    <xf borderId="1" fillId="3" fontId="49" numFmtId="0" xfId="0" applyAlignment="1" applyBorder="1" applyFont="1">
      <alignment horizontal="center" shrinkToFit="0" vertical="bottom" wrapText="0"/>
    </xf>
    <xf borderId="2" fillId="0" fontId="30" numFmtId="0" xfId="0" applyAlignment="1" applyBorder="1" applyFont="1">
      <alignment readingOrder="0" vertical="bottom"/>
    </xf>
    <xf borderId="2" fillId="0" fontId="29" numFmtId="0" xfId="0" applyAlignment="1" applyBorder="1" applyFont="1">
      <alignment vertical="bottom"/>
    </xf>
    <xf borderId="0" fillId="0" fontId="48" numFmtId="0" xfId="0" applyAlignment="1" applyFont="1">
      <alignment horizontal="center" readingOrder="0" vertical="bottom"/>
    </xf>
    <xf borderId="1" fillId="3" fontId="19" numFmtId="0" xfId="0" applyAlignment="1" applyBorder="1" applyFont="1">
      <alignment vertical="bottom"/>
    </xf>
    <xf borderId="1" fillId="3" fontId="52" numFmtId="0" xfId="0" applyAlignment="1" applyBorder="1" applyFont="1">
      <alignment horizontal="center" vertical="bottom"/>
    </xf>
    <xf borderId="0" fillId="3" fontId="52" numFmtId="0" xfId="0" applyAlignment="1" applyFont="1">
      <alignment horizontal="center" vertical="bottom"/>
    </xf>
    <xf borderId="1" fillId="2" fontId="5" numFmtId="0" xfId="0" applyAlignment="1" applyBorder="1" applyFont="1">
      <alignment readingOrder="0" shrinkToFit="0" wrapText="0"/>
    </xf>
    <xf borderId="0" fillId="0" fontId="48" numFmtId="0" xfId="0" applyAlignment="1" applyFont="1">
      <alignment readingOrder="0" vertical="bottom"/>
    </xf>
    <xf borderId="13" fillId="0" fontId="2" numFmtId="0" xfId="0" applyBorder="1" applyFont="1"/>
    <xf borderId="0" fillId="9" fontId="2" numFmtId="0" xfId="0" applyAlignment="1" applyFont="1">
      <alignment readingOrder="0"/>
    </xf>
    <xf borderId="1" fillId="3" fontId="5" numFmtId="0" xfId="0" applyAlignment="1" applyBorder="1" applyFont="1">
      <alignment readingOrder="0" shrinkToFit="0" wrapText="0"/>
    </xf>
    <xf borderId="0" fillId="2" fontId="49" numFmtId="0" xfId="0" applyAlignment="1" applyFont="1">
      <alignment horizontal="center" shrinkToFit="0" vertical="bottom" wrapText="0"/>
    </xf>
    <xf borderId="0" fillId="3" fontId="5" numFmtId="0" xfId="0" applyAlignment="1" applyFont="1">
      <alignment readingOrder="0" shrinkToFit="0" wrapText="0"/>
    </xf>
    <xf borderId="0" fillId="9" fontId="11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1">
    <tableStyle count="2" pivot="0" name="AthletesParents Info -style">
      <tableStyleElement dxfId="1" type="firstRowStripe"/>
      <tableStyleElement dxfId="2" type="secondRowStripe"/>
    </tableStyle>
    <tableStyle count="2" pivot="0" name="AthletesParents Info -style 2">
      <tableStyleElement dxfId="2" type="firstRowStripe"/>
      <tableStyleElement dxfId="1" type="secondRowStripe"/>
    </tableStyle>
    <tableStyle count="2" pivot="0" name="Carpool-style">
      <tableStyleElement dxfId="1" type="firstRowStripe"/>
      <tableStyleElement dxfId="2" type="secondRowStripe"/>
    </tableStyle>
    <tableStyle count="2" pivot="0" name="Carpool-style 2">
      <tableStyleElement dxfId="2" type="firstRowStripe"/>
      <tableStyleElement dxfId="1" type="secondRowStripe"/>
    </tableStyle>
    <tableStyle count="2" pivot="0" name="Meet Attendance-style">
      <tableStyleElement dxfId="1" type="firstRowStripe"/>
      <tableStyleElement dxfId="2" type="secondRowStripe"/>
    </tableStyle>
    <tableStyle count="2" pivot="0" name="Meet Attendance-style 2">
      <tableStyleElement dxfId="2" type="firstRowStripe"/>
      <tableStyleElement dxfId="1" type="secondRowStripe"/>
    </tableStyle>
    <tableStyle count="2" pivot="0" name="Attendance-style">
      <tableStyleElement dxfId="1" type="firstRowStripe"/>
      <tableStyleElement dxfId="2" type="secondRowStripe"/>
    </tableStyle>
    <tableStyle count="2" pivot="0" name="Sheet18-style">
      <tableStyleElement dxfId="1" type="firstRowStripe"/>
      <tableStyleElement dxfId="2" type="secondRowStripe"/>
    </tableStyle>
    <tableStyle count="2" pivot="0" name="Sheet18-style 2">
      <tableStyleElement dxfId="1" type="firstRowStripe"/>
      <tableStyleElement dxfId="2" type="secondRowStripe"/>
    </tableStyle>
    <tableStyle count="2" pivot="0" name="Sheet18-style 3">
      <tableStyleElement dxfId="2" type="firstRowStripe"/>
      <tableStyleElement dxfId="1" type="secondRowStripe"/>
    </tableStyle>
    <tableStyle count="2" pivot="0" name="Sheet18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H60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thletesParents Info -style" showColumnStripes="0" showFirstColumn="1" showLastColumn="1" showRowStripes="1"/>
</table>
</file>

<file path=xl/tables/table2.xml><?xml version="1.0" encoding="utf-8"?>
<table xmlns="http://schemas.openxmlformats.org/spreadsheetml/2006/main" headerRowCount="0" ref="A61:C61" displayName="Table_2" name="Table_2" id="2">
  <tableColumns count="3">
    <tableColumn name="Column1" id="1"/>
    <tableColumn name="Column2" id="2"/>
    <tableColumn name="Column3" id="3"/>
  </tableColumns>
  <tableStyleInfo name="AthletesParents Info -style 2" showColumnStripes="0" showFirstColumn="1" showLastColumn="1" showRowStripes="1"/>
</table>
</file>

<file path=xl/tables/table3.xml><?xml version="1.0" encoding="utf-8"?>
<table xmlns="http://schemas.openxmlformats.org/spreadsheetml/2006/main" headerRowCount="0" ref="L18:W71" displayName="Table_3" name="Table_3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arpool-style" showColumnStripes="0" showFirstColumn="1" showLastColumn="1" showRowStripes="1"/>
</table>
</file>

<file path=xl/tables/table4.xml><?xml version="1.0" encoding="utf-8"?>
<table xmlns="http://schemas.openxmlformats.org/spreadsheetml/2006/main" headerRowCount="0" ref="L72:Q77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arpool-style 2" showColumnStripes="0" showFirstColumn="1" showLastColumn="1" showRowStripes="1"/>
</table>
</file>

<file path=xl/tables/table5.xml><?xml version="1.0" encoding="utf-8"?>
<table xmlns="http://schemas.openxmlformats.org/spreadsheetml/2006/main" headerRowCount="0" ref="A2:J55" displayName="Table_5" name="Table_5" id="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Meet Attendance-style" showColumnStripes="0" showFirstColumn="1" showLastColumn="1" showRowStripes="1"/>
</table>
</file>

<file path=xl/tables/table6.xml><?xml version="1.0" encoding="utf-8"?>
<table xmlns="http://schemas.openxmlformats.org/spreadsheetml/2006/main" headerRowCount="0" ref="A56:K62" displayName="Table_6" name="Table_6" id="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Meet Attendance-style 2" showColumnStripes="0" showFirstColumn="1" showLastColumn="1" showRowStripes="1"/>
</table>
</file>

<file path=xl/tables/table7.xml><?xml version="1.0" encoding="utf-8"?>
<table xmlns="http://schemas.openxmlformats.org/spreadsheetml/2006/main" headerRowCount="0" ref="A2:E58" displayName="Table_7" name="Table_7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Attendance-style" showColumnStripes="0" showFirstColumn="1" showLastColumn="1" showRowStripes="1"/>
</table>
</file>

<file path=xl/tables/table8.xml><?xml version="1.0" encoding="utf-8"?>
<table xmlns="http://schemas.openxmlformats.org/spreadsheetml/2006/main" headerRowCount="0" ref="A2:D55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Sheet18-style" showColumnStripes="0" showFirstColumn="1" showLastColumn="1" showRowStripes="1"/>
</table>
</file>

<file path=xl/tables/table9.xml><?xml version="1.0" encoding="utf-8"?>
<table xmlns="http://schemas.openxmlformats.org/spreadsheetml/2006/main" headerRowCount="0" ref="N2:Q55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Sheet18-style 2" showColumnStripes="0" showFirstColumn="1" showLastColumn="1" showRowStripes="1"/>
</table>
</file>

<file path=xl/tables/table10.xml><?xml version="1.0" encoding="utf-8"?>
<table xmlns="http://schemas.openxmlformats.org/spreadsheetml/2006/main" headerRowCount="0" ref="G25:J30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Sheet18-style 3" showColumnStripes="0" showFirstColumn="1" showLastColumn="1" showRowStripes="1"/>
</table>
</file>

<file path=xl/tables/table11.xml><?xml version="1.0" encoding="utf-8"?>
<table xmlns="http://schemas.openxmlformats.org/spreadsheetml/2006/main" headerRowCount="0" ref="N59:Q59" displayName="Table_11" name="Table_11" id="11">
  <tableColumns count="4">
    <tableColumn name="Column1" id="1"/>
    <tableColumn name="Column2" id="2"/>
    <tableColumn name="Column3" id="3"/>
    <tableColumn name="Column4" id="4"/>
  </tableColumns>
  <tableStyleInfo name="Sheet18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CdbY3QrnqHZQU-S_J3Jz4ywnVkkRmt7shxefr50sE7c/edit?usp=sharing" TargetMode="External"/><Relationship Id="rId2" Type="http://schemas.openxmlformats.org/officeDocument/2006/relationships/hyperlink" Target="mailto:anna-marie.allen@spps.org" TargetMode="External"/><Relationship Id="rId3" Type="http://schemas.openxmlformats.org/officeDocument/2006/relationships/hyperlink" Target="https://docs.google.com/document/d/1EpEXvZNl6aV7rCBumxdaUx2W_pB6yX9H/edit?usp=sharing&amp;ouid=114963512204784407781&amp;rtpof=true&amp;sd=true" TargetMode="External"/><Relationship Id="rId4" Type="http://schemas.openxmlformats.org/officeDocument/2006/relationships/hyperlink" Target="https://docs.google.com/document/d/1N7PvA_LzYL2_7i2s6nMpVNhWZdJGJ2WZ3-UnGSwBGlU/edit?usp=sharing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docs.google.com/document/d/1uTvGzpkoW11kUd1r8h1I23AitfZvsersGIUFhaaGmEQ/edit?usp=sharing" TargetMode="External"/><Relationship Id="rId6" Type="http://schemas.openxmlformats.org/officeDocument/2006/relationships/hyperlink" Target="https://www.google.com/maps/place/Concordia+Academy/@45.012666,-93.1263567,577m/data=!3m2!1e3!4b1!4m6!3m5!1s0x52b32a6ab09bb561:0xd27bc911ca17c7f1!8m2!3d45.012666!4d-93.124168!16s%2Fm%2F02r3z_d" TargetMode="External"/><Relationship Id="rId7" Type="http://schemas.openxmlformats.org/officeDocument/2006/relationships/hyperlink" Target="https://docs.google.com/document/d/1_hVK5RvggiXzsnJpAyr4GmphVxkACEgG1_tU6JVfoZ4/edit?usp=sharing" TargetMode="External"/><Relationship Id="rId8" Type="http://schemas.openxmlformats.org/officeDocument/2006/relationships/hyperlink" Target="https://docs.google.com/document/d/1Qjc6uyt0p32dkJ6nqbjo7QRZ7OXexZda8RPvuKhkhV0/edit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9" Type="http://schemas.openxmlformats.org/officeDocument/2006/relationships/table" Target="../tables/table11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Relationship Id="rId8" Type="http://schemas.openxmlformats.org/officeDocument/2006/relationships/table" Target="../tables/table1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ignupgenius.com/go/8050B4CABAA29A2F49-55980519-muddy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5"/>
    <col customWidth="1" min="3" max="3" width="7.63"/>
    <col customWidth="1" min="4" max="4" width="24.0"/>
    <col customWidth="1" min="5" max="5" width="25.88"/>
    <col customWidth="1" min="6" max="6" width="44.13"/>
    <col customWidth="1" min="7" max="7" width="33.13"/>
    <col customWidth="1" min="8" max="8" width="7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3</v>
      </c>
      <c r="F1" s="4" t="s">
        <v>4</v>
      </c>
      <c r="G1" s="4" t="s">
        <v>5</v>
      </c>
      <c r="H1" s="5" t="s">
        <v>6</v>
      </c>
    </row>
    <row r="2">
      <c r="A2" s="6" t="s">
        <v>7</v>
      </c>
      <c r="B2" s="6" t="s">
        <v>8</v>
      </c>
      <c r="C2" s="7">
        <v>8.0</v>
      </c>
      <c r="D2" s="6" t="s">
        <v>9</v>
      </c>
      <c r="E2" s="6" t="s">
        <v>10</v>
      </c>
      <c r="F2" s="6" t="s">
        <v>11</v>
      </c>
      <c r="G2" s="8"/>
      <c r="H2" s="9" t="s">
        <v>12</v>
      </c>
    </row>
    <row r="3">
      <c r="A3" s="10" t="s">
        <v>13</v>
      </c>
      <c r="B3" s="10" t="s">
        <v>14</v>
      </c>
      <c r="C3" s="11">
        <v>8.0</v>
      </c>
      <c r="D3" s="12" t="s">
        <v>15</v>
      </c>
      <c r="E3" s="12" t="s">
        <v>16</v>
      </c>
      <c r="F3" s="10" t="s">
        <v>17</v>
      </c>
      <c r="G3" s="10" t="s">
        <v>18</v>
      </c>
      <c r="H3" s="13" t="s">
        <v>12</v>
      </c>
    </row>
    <row r="4">
      <c r="A4" s="10" t="s">
        <v>19</v>
      </c>
      <c r="B4" s="10" t="s">
        <v>20</v>
      </c>
      <c r="C4" s="11">
        <v>6.0</v>
      </c>
      <c r="D4" s="6" t="s">
        <v>21</v>
      </c>
      <c r="E4" s="6" t="s">
        <v>22</v>
      </c>
      <c r="F4" s="6" t="s">
        <v>23</v>
      </c>
      <c r="G4" s="6" t="s">
        <v>24</v>
      </c>
      <c r="H4" s="14" t="s">
        <v>12</v>
      </c>
    </row>
    <row r="5">
      <c r="A5" s="15" t="s">
        <v>25</v>
      </c>
      <c r="B5" s="6" t="s">
        <v>26</v>
      </c>
      <c r="C5" s="7">
        <v>7.0</v>
      </c>
      <c r="D5" s="6" t="s">
        <v>27</v>
      </c>
      <c r="E5" s="6" t="s">
        <v>28</v>
      </c>
      <c r="F5" s="6" t="s">
        <v>29</v>
      </c>
      <c r="G5" s="6" t="s">
        <v>30</v>
      </c>
      <c r="H5" s="14" t="s">
        <v>12</v>
      </c>
    </row>
    <row r="6">
      <c r="A6" s="16" t="s">
        <v>31</v>
      </c>
      <c r="B6" s="16" t="s">
        <v>32</v>
      </c>
      <c r="C6" s="17">
        <v>6.0</v>
      </c>
      <c r="D6" s="18" t="s">
        <v>33</v>
      </c>
      <c r="E6" s="18" t="s">
        <v>34</v>
      </c>
      <c r="F6" s="18" t="s">
        <v>35</v>
      </c>
      <c r="G6" s="18" t="s">
        <v>36</v>
      </c>
      <c r="H6" s="14" t="s">
        <v>12</v>
      </c>
    </row>
    <row r="7">
      <c r="A7" s="16" t="s">
        <v>37</v>
      </c>
      <c r="B7" s="16" t="s">
        <v>8</v>
      </c>
      <c r="C7" s="17">
        <v>5.0</v>
      </c>
      <c r="D7" s="6" t="s">
        <v>9</v>
      </c>
      <c r="E7" s="6" t="s">
        <v>10</v>
      </c>
      <c r="F7" s="6" t="s">
        <v>11</v>
      </c>
      <c r="G7" s="6"/>
      <c r="H7" s="19" t="s">
        <v>12</v>
      </c>
    </row>
    <row r="8">
      <c r="A8" s="10" t="s">
        <v>38</v>
      </c>
      <c r="B8" s="10" t="s">
        <v>39</v>
      </c>
      <c r="C8" s="11">
        <v>7.0</v>
      </c>
      <c r="D8" s="6" t="s">
        <v>40</v>
      </c>
      <c r="E8" s="6" t="s">
        <v>41</v>
      </c>
      <c r="F8" s="6" t="s">
        <v>42</v>
      </c>
      <c r="G8" s="6" t="s">
        <v>43</v>
      </c>
      <c r="H8" s="14" t="s">
        <v>12</v>
      </c>
    </row>
    <row r="9">
      <c r="A9" s="6" t="s">
        <v>44</v>
      </c>
      <c r="B9" s="6" t="s">
        <v>45</v>
      </c>
      <c r="C9" s="7">
        <v>7.0</v>
      </c>
      <c r="D9" s="20" t="s">
        <v>46</v>
      </c>
      <c r="E9" s="6" t="s">
        <v>47</v>
      </c>
      <c r="F9" s="6" t="s">
        <v>48</v>
      </c>
      <c r="G9" s="6" t="s">
        <v>49</v>
      </c>
      <c r="H9" s="14" t="s">
        <v>12</v>
      </c>
    </row>
    <row r="10">
      <c r="A10" s="6" t="s">
        <v>50</v>
      </c>
      <c r="B10" s="6" t="s">
        <v>51</v>
      </c>
      <c r="C10" s="7">
        <v>7.0</v>
      </c>
      <c r="D10" s="10" t="s">
        <v>52</v>
      </c>
      <c r="E10" s="10" t="s">
        <v>53</v>
      </c>
      <c r="F10" s="10" t="s">
        <v>54</v>
      </c>
      <c r="G10" s="10" t="s">
        <v>55</v>
      </c>
      <c r="H10" s="13" t="s">
        <v>12</v>
      </c>
    </row>
    <row r="11">
      <c r="A11" s="10" t="s">
        <v>56</v>
      </c>
      <c r="B11" s="10" t="s">
        <v>57</v>
      </c>
      <c r="C11" s="11">
        <v>7.0</v>
      </c>
      <c r="D11" s="20" t="s">
        <v>58</v>
      </c>
      <c r="E11" s="6" t="s">
        <v>59</v>
      </c>
      <c r="F11" s="6" t="s">
        <v>60</v>
      </c>
      <c r="G11" s="6" t="s">
        <v>61</v>
      </c>
      <c r="H11" s="14" t="s">
        <v>12</v>
      </c>
    </row>
    <row r="12">
      <c r="A12" s="6" t="s">
        <v>62</v>
      </c>
      <c r="B12" s="6" t="s">
        <v>63</v>
      </c>
      <c r="C12" s="7">
        <v>5.0</v>
      </c>
      <c r="D12" s="10" t="s">
        <v>64</v>
      </c>
      <c r="E12" s="10" t="s">
        <v>65</v>
      </c>
      <c r="F12" s="10" t="s">
        <v>66</v>
      </c>
      <c r="G12" s="10" t="s">
        <v>67</v>
      </c>
      <c r="H12" s="13" t="s">
        <v>12</v>
      </c>
    </row>
    <row r="13">
      <c r="A13" s="21" t="s">
        <v>68</v>
      </c>
      <c r="B13" s="21" t="s">
        <v>69</v>
      </c>
      <c r="C13" s="22">
        <v>7.0</v>
      </c>
      <c r="D13" s="21" t="s">
        <v>70</v>
      </c>
      <c r="E13" s="21" t="s">
        <v>71</v>
      </c>
      <c r="F13" s="6" t="s">
        <v>72</v>
      </c>
      <c r="G13" s="6" t="s">
        <v>73</v>
      </c>
      <c r="H13" s="14" t="s">
        <v>12</v>
      </c>
    </row>
    <row r="14">
      <c r="A14" s="23" t="s">
        <v>68</v>
      </c>
      <c r="B14" s="23" t="s">
        <v>74</v>
      </c>
      <c r="C14" s="17">
        <v>8.0</v>
      </c>
      <c r="D14" s="16" t="s">
        <v>75</v>
      </c>
      <c r="E14" s="16" t="s">
        <v>76</v>
      </c>
      <c r="F14" s="24" t="s">
        <v>77</v>
      </c>
      <c r="G14" s="16" t="s">
        <v>78</v>
      </c>
      <c r="H14" s="13" t="s">
        <v>12</v>
      </c>
    </row>
    <row r="15">
      <c r="A15" s="6" t="s">
        <v>79</v>
      </c>
      <c r="B15" s="6" t="s">
        <v>80</v>
      </c>
      <c r="C15" s="7">
        <v>5.0</v>
      </c>
      <c r="D15" s="16" t="s">
        <v>81</v>
      </c>
      <c r="E15" s="16" t="s">
        <v>82</v>
      </c>
      <c r="F15" s="10" t="s">
        <v>83</v>
      </c>
      <c r="G15" s="10" t="s">
        <v>84</v>
      </c>
      <c r="H15" s="13" t="s">
        <v>12</v>
      </c>
    </row>
    <row r="16">
      <c r="A16" s="6" t="s">
        <v>85</v>
      </c>
      <c r="B16" s="6" t="s">
        <v>86</v>
      </c>
      <c r="C16" s="7">
        <v>8.0</v>
      </c>
      <c r="D16" s="10" t="s">
        <v>87</v>
      </c>
      <c r="E16" s="10" t="s">
        <v>88</v>
      </c>
      <c r="F16" s="10" t="s">
        <v>89</v>
      </c>
      <c r="G16" s="10" t="s">
        <v>90</v>
      </c>
      <c r="H16" s="13" t="s">
        <v>12</v>
      </c>
    </row>
    <row r="17">
      <c r="A17" s="6" t="s">
        <v>91</v>
      </c>
      <c r="B17" s="6" t="s">
        <v>92</v>
      </c>
      <c r="C17" s="7">
        <v>7.0</v>
      </c>
      <c r="D17" s="6" t="s">
        <v>93</v>
      </c>
      <c r="E17" s="6" t="s">
        <v>94</v>
      </c>
      <c r="F17" s="6" t="s">
        <v>95</v>
      </c>
      <c r="G17" s="8"/>
      <c r="H17" s="25" t="s">
        <v>12</v>
      </c>
    </row>
    <row r="18">
      <c r="A18" s="6" t="s">
        <v>96</v>
      </c>
      <c r="B18" s="6" t="s">
        <v>97</v>
      </c>
      <c r="C18" s="7">
        <v>5.0</v>
      </c>
      <c r="D18" s="6" t="s">
        <v>98</v>
      </c>
      <c r="E18" s="6" t="s">
        <v>99</v>
      </c>
      <c r="F18" s="6" t="s">
        <v>100</v>
      </c>
      <c r="G18" s="6" t="s">
        <v>101</v>
      </c>
      <c r="H18" s="19" t="s">
        <v>12</v>
      </c>
    </row>
    <row r="19">
      <c r="A19" s="12" t="s">
        <v>102</v>
      </c>
      <c r="B19" s="12" t="s">
        <v>103</v>
      </c>
      <c r="C19" s="26">
        <v>7.0</v>
      </c>
      <c r="D19" s="12" t="s">
        <v>104</v>
      </c>
      <c r="E19" s="12" t="s">
        <v>105</v>
      </c>
      <c r="F19" s="12" t="s">
        <v>106</v>
      </c>
      <c r="G19" s="12" t="s">
        <v>107</v>
      </c>
      <c r="H19" s="27" t="s">
        <v>108</v>
      </c>
    </row>
    <row r="20">
      <c r="A20" s="23" t="s">
        <v>109</v>
      </c>
      <c r="B20" s="16" t="s">
        <v>110</v>
      </c>
      <c r="C20" s="17">
        <v>8.0</v>
      </c>
      <c r="D20" s="28" t="s">
        <v>111</v>
      </c>
      <c r="E20" s="29" t="s">
        <v>112</v>
      </c>
      <c r="F20" s="18" t="s">
        <v>113</v>
      </c>
      <c r="G20" s="18" t="s">
        <v>114</v>
      </c>
      <c r="H20" s="14" t="s">
        <v>12</v>
      </c>
    </row>
    <row r="21">
      <c r="A21" s="6" t="s">
        <v>115</v>
      </c>
      <c r="B21" s="6" t="s">
        <v>20</v>
      </c>
      <c r="C21" s="7">
        <v>8.0</v>
      </c>
      <c r="D21" s="10" t="s">
        <v>21</v>
      </c>
      <c r="E21" s="10" t="s">
        <v>22</v>
      </c>
      <c r="F21" s="30" t="s">
        <v>23</v>
      </c>
      <c r="G21" s="31" t="s">
        <v>24</v>
      </c>
      <c r="H21" s="13" t="s">
        <v>12</v>
      </c>
    </row>
    <row r="22">
      <c r="A22" s="10" t="s">
        <v>116</v>
      </c>
      <c r="B22" s="10" t="s">
        <v>117</v>
      </c>
      <c r="C22" s="11">
        <v>6.0</v>
      </c>
      <c r="D22" s="6" t="s">
        <v>118</v>
      </c>
      <c r="E22" s="6" t="s">
        <v>119</v>
      </c>
      <c r="F22" s="6" t="s">
        <v>120</v>
      </c>
      <c r="G22" s="6" t="s">
        <v>121</v>
      </c>
      <c r="H22" s="14" t="s">
        <v>12</v>
      </c>
    </row>
    <row r="23">
      <c r="A23" s="10" t="s">
        <v>122</v>
      </c>
      <c r="B23" s="10" t="s">
        <v>123</v>
      </c>
      <c r="C23" s="11">
        <v>6.0</v>
      </c>
      <c r="D23" s="6" t="s">
        <v>124</v>
      </c>
      <c r="E23" s="6" t="s">
        <v>125</v>
      </c>
      <c r="F23" s="6" t="s">
        <v>126</v>
      </c>
      <c r="G23" s="8"/>
      <c r="H23" s="25" t="s">
        <v>12</v>
      </c>
    </row>
    <row r="24">
      <c r="A24" s="10" t="s">
        <v>127</v>
      </c>
      <c r="B24" s="10" t="s">
        <v>128</v>
      </c>
      <c r="C24" s="11">
        <v>6.0</v>
      </c>
      <c r="D24" s="6" t="s">
        <v>129</v>
      </c>
      <c r="E24" s="6" t="s">
        <v>130</v>
      </c>
      <c r="F24" s="10" t="s">
        <v>131</v>
      </c>
      <c r="G24" s="10" t="s">
        <v>132</v>
      </c>
      <c r="H24" s="13" t="s">
        <v>12</v>
      </c>
    </row>
    <row r="25">
      <c r="A25" s="10" t="s">
        <v>133</v>
      </c>
      <c r="B25" s="10" t="s">
        <v>134</v>
      </c>
      <c r="C25" s="11">
        <v>5.0</v>
      </c>
      <c r="D25" s="32" t="s">
        <v>135</v>
      </c>
      <c r="E25" s="32" t="s">
        <v>136</v>
      </c>
      <c r="F25" s="10" t="s">
        <v>137</v>
      </c>
      <c r="G25" s="33"/>
      <c r="H25" s="34" t="s">
        <v>12</v>
      </c>
    </row>
    <row r="26">
      <c r="A26" s="6" t="s">
        <v>138</v>
      </c>
      <c r="B26" s="6" t="s">
        <v>139</v>
      </c>
      <c r="C26" s="7">
        <v>6.0</v>
      </c>
      <c r="D26" s="10" t="s">
        <v>140</v>
      </c>
      <c r="E26" s="10" t="s">
        <v>141</v>
      </c>
      <c r="F26" s="10" t="s">
        <v>142</v>
      </c>
      <c r="G26" s="10" t="s">
        <v>143</v>
      </c>
      <c r="H26" s="13" t="s">
        <v>12</v>
      </c>
    </row>
    <row r="27">
      <c r="A27" s="10" t="s">
        <v>144</v>
      </c>
      <c r="B27" s="10" t="s">
        <v>145</v>
      </c>
      <c r="C27" s="11">
        <v>5.0</v>
      </c>
      <c r="D27" s="10" t="s">
        <v>146</v>
      </c>
      <c r="E27" s="10" t="s">
        <v>147</v>
      </c>
      <c r="F27" s="10" t="s">
        <v>148</v>
      </c>
      <c r="G27" s="10" t="s">
        <v>149</v>
      </c>
      <c r="H27" s="13" t="s">
        <v>12</v>
      </c>
    </row>
    <row r="28">
      <c r="A28" s="15" t="s">
        <v>150</v>
      </c>
      <c r="B28" s="6" t="s">
        <v>151</v>
      </c>
      <c r="C28" s="7">
        <v>7.0</v>
      </c>
      <c r="D28" s="10" t="s">
        <v>152</v>
      </c>
      <c r="E28" s="10" t="s">
        <v>153</v>
      </c>
      <c r="F28" s="32" t="s">
        <v>154</v>
      </c>
      <c r="G28" s="10" t="s">
        <v>155</v>
      </c>
      <c r="H28" s="13" t="s">
        <v>12</v>
      </c>
    </row>
    <row r="29">
      <c r="A29" s="6" t="s">
        <v>156</v>
      </c>
      <c r="B29" s="6" t="s">
        <v>157</v>
      </c>
      <c r="C29" s="7">
        <v>5.0</v>
      </c>
      <c r="D29" s="10" t="s">
        <v>158</v>
      </c>
      <c r="E29" s="10" t="s">
        <v>159</v>
      </c>
      <c r="F29" s="10" t="s">
        <v>160</v>
      </c>
      <c r="G29" s="10" t="s">
        <v>161</v>
      </c>
      <c r="H29" s="13" t="s">
        <v>12</v>
      </c>
    </row>
    <row r="30">
      <c r="A30" s="23" t="s">
        <v>162</v>
      </c>
      <c r="B30" s="16" t="s">
        <v>110</v>
      </c>
      <c r="C30" s="17">
        <v>8.0</v>
      </c>
      <c r="D30" s="28" t="s">
        <v>111</v>
      </c>
      <c r="E30" s="29" t="s">
        <v>112</v>
      </c>
      <c r="F30" s="18" t="s">
        <v>113</v>
      </c>
      <c r="G30" s="18" t="s">
        <v>114</v>
      </c>
      <c r="H30" s="14" t="s">
        <v>12</v>
      </c>
    </row>
    <row r="31">
      <c r="A31" s="10" t="s">
        <v>163</v>
      </c>
      <c r="B31" s="10" t="s">
        <v>92</v>
      </c>
      <c r="C31" s="11">
        <v>7.0</v>
      </c>
      <c r="D31" s="10" t="s">
        <v>93</v>
      </c>
      <c r="E31" s="10" t="s">
        <v>94</v>
      </c>
      <c r="F31" s="10" t="s">
        <v>95</v>
      </c>
      <c r="G31" s="33"/>
      <c r="H31" s="34" t="s">
        <v>12</v>
      </c>
    </row>
    <row r="32">
      <c r="A32" s="6" t="s">
        <v>164</v>
      </c>
      <c r="B32" s="6" t="s">
        <v>128</v>
      </c>
      <c r="C32" s="7">
        <v>8.0</v>
      </c>
      <c r="D32" s="6" t="s">
        <v>129</v>
      </c>
      <c r="E32" s="6" t="s">
        <v>130</v>
      </c>
      <c r="F32" s="6" t="s">
        <v>131</v>
      </c>
      <c r="G32" s="6" t="s">
        <v>132</v>
      </c>
      <c r="H32" s="14" t="s">
        <v>12</v>
      </c>
    </row>
    <row r="33">
      <c r="A33" s="6" t="s">
        <v>165</v>
      </c>
      <c r="B33" s="6" t="s">
        <v>166</v>
      </c>
      <c r="C33" s="7">
        <v>5.0</v>
      </c>
      <c r="D33" s="10" t="s">
        <v>167</v>
      </c>
      <c r="E33" s="10" t="s">
        <v>168</v>
      </c>
      <c r="F33" s="10" t="s">
        <v>169</v>
      </c>
      <c r="G33" s="10" t="s">
        <v>170</v>
      </c>
      <c r="H33" s="13" t="s">
        <v>12</v>
      </c>
    </row>
    <row r="34">
      <c r="A34" s="10" t="s">
        <v>171</v>
      </c>
      <c r="B34" s="10" t="s">
        <v>172</v>
      </c>
      <c r="C34" s="11">
        <v>5.0</v>
      </c>
      <c r="D34" s="6" t="s">
        <v>173</v>
      </c>
      <c r="E34" s="6" t="s">
        <v>174</v>
      </c>
      <c r="F34" s="6" t="s">
        <v>175</v>
      </c>
      <c r="G34" s="6" t="s">
        <v>176</v>
      </c>
      <c r="H34" s="14" t="s">
        <v>12</v>
      </c>
    </row>
    <row r="35">
      <c r="A35" s="10" t="s">
        <v>177</v>
      </c>
      <c r="B35" s="10" t="s">
        <v>178</v>
      </c>
      <c r="C35" s="11">
        <v>8.0</v>
      </c>
      <c r="D35" s="10" t="s">
        <v>179</v>
      </c>
      <c r="E35" s="10" t="s">
        <v>180</v>
      </c>
      <c r="F35" s="10" t="s">
        <v>181</v>
      </c>
      <c r="G35" s="10" t="s">
        <v>181</v>
      </c>
      <c r="H35" s="13" t="s">
        <v>12</v>
      </c>
    </row>
    <row r="36">
      <c r="A36" s="10" t="s">
        <v>182</v>
      </c>
      <c r="B36" s="10" t="s">
        <v>183</v>
      </c>
      <c r="C36" s="11">
        <v>7.0</v>
      </c>
      <c r="D36" s="6" t="s">
        <v>184</v>
      </c>
      <c r="E36" s="6" t="s">
        <v>185</v>
      </c>
      <c r="F36" s="6" t="s">
        <v>186</v>
      </c>
      <c r="G36" s="6" t="s">
        <v>187</v>
      </c>
      <c r="H36" s="14" t="s">
        <v>12</v>
      </c>
    </row>
    <row r="37">
      <c r="A37" s="10" t="s">
        <v>188</v>
      </c>
      <c r="B37" s="10" t="s">
        <v>189</v>
      </c>
      <c r="C37" s="11">
        <v>7.0</v>
      </c>
      <c r="D37" s="10" t="s">
        <v>190</v>
      </c>
      <c r="E37" s="10" t="s">
        <v>191</v>
      </c>
      <c r="F37" s="10" t="s">
        <v>192</v>
      </c>
      <c r="G37" s="10" t="s">
        <v>193</v>
      </c>
      <c r="H37" s="13" t="s">
        <v>12</v>
      </c>
    </row>
    <row r="38">
      <c r="A38" s="10" t="s">
        <v>194</v>
      </c>
      <c r="B38" s="10" t="s">
        <v>195</v>
      </c>
      <c r="C38" s="11">
        <v>8.0</v>
      </c>
      <c r="D38" s="6" t="s">
        <v>196</v>
      </c>
      <c r="E38" s="6" t="s">
        <v>197</v>
      </c>
      <c r="F38" s="6" t="s">
        <v>198</v>
      </c>
      <c r="G38" s="6" t="s">
        <v>199</v>
      </c>
      <c r="H38" s="14" t="s">
        <v>12</v>
      </c>
    </row>
    <row r="39">
      <c r="A39" s="6" t="s">
        <v>200</v>
      </c>
      <c r="B39" s="6" t="s">
        <v>201</v>
      </c>
      <c r="C39" s="7">
        <v>7.0</v>
      </c>
      <c r="D39" s="10" t="s">
        <v>202</v>
      </c>
      <c r="E39" s="10" t="s">
        <v>203</v>
      </c>
      <c r="F39" s="10" t="s">
        <v>204</v>
      </c>
      <c r="G39" s="33"/>
      <c r="H39" s="34" t="s">
        <v>12</v>
      </c>
    </row>
    <row r="40">
      <c r="A40" s="10" t="s">
        <v>205</v>
      </c>
      <c r="B40" s="10" t="s">
        <v>206</v>
      </c>
      <c r="C40" s="11">
        <v>5.0</v>
      </c>
      <c r="D40" s="10" t="s">
        <v>207</v>
      </c>
      <c r="E40" s="10" t="s">
        <v>208</v>
      </c>
      <c r="F40" s="10" t="s">
        <v>209</v>
      </c>
      <c r="G40" s="33"/>
      <c r="H40" s="34" t="s">
        <v>12</v>
      </c>
    </row>
    <row r="41">
      <c r="A41" s="16" t="s">
        <v>210</v>
      </c>
      <c r="B41" s="16" t="s">
        <v>14</v>
      </c>
      <c r="C41" s="17">
        <v>5.0</v>
      </c>
      <c r="D41" s="35" t="s">
        <v>211</v>
      </c>
      <c r="E41" s="35" t="s">
        <v>212</v>
      </c>
      <c r="F41" s="36" t="s">
        <v>213</v>
      </c>
      <c r="G41" s="18"/>
      <c r="H41" s="14" t="s">
        <v>12</v>
      </c>
    </row>
    <row r="42">
      <c r="A42" s="6" t="s">
        <v>214</v>
      </c>
      <c r="B42" s="6" t="s">
        <v>134</v>
      </c>
      <c r="C42" s="7">
        <v>7.0</v>
      </c>
      <c r="D42" s="6" t="s">
        <v>135</v>
      </c>
      <c r="E42" s="6" t="s">
        <v>136</v>
      </c>
      <c r="F42" s="6" t="s">
        <v>137</v>
      </c>
      <c r="G42" s="8"/>
      <c r="H42" s="25" t="s">
        <v>12</v>
      </c>
    </row>
    <row r="43">
      <c r="A43" s="6" t="s">
        <v>215</v>
      </c>
      <c r="B43" s="6" t="s">
        <v>216</v>
      </c>
      <c r="C43" s="7">
        <v>6.0</v>
      </c>
      <c r="D43" s="6" t="s">
        <v>217</v>
      </c>
      <c r="E43" s="6" t="s">
        <v>218</v>
      </c>
      <c r="F43" s="6" t="s">
        <v>219</v>
      </c>
      <c r="G43" s="8"/>
      <c r="H43" s="25" t="s">
        <v>12</v>
      </c>
    </row>
    <row r="44">
      <c r="A44" s="10" t="s">
        <v>220</v>
      </c>
      <c r="B44" s="10" t="s">
        <v>216</v>
      </c>
      <c r="C44" s="11">
        <v>8.0</v>
      </c>
      <c r="D44" s="10" t="s">
        <v>217</v>
      </c>
      <c r="E44" s="10" t="s">
        <v>221</v>
      </c>
      <c r="F44" s="10" t="s">
        <v>219</v>
      </c>
      <c r="G44" s="33"/>
      <c r="H44" s="34" t="s">
        <v>12</v>
      </c>
    </row>
    <row r="45">
      <c r="A45" s="10" t="s">
        <v>222</v>
      </c>
      <c r="B45" s="10" t="s">
        <v>201</v>
      </c>
      <c r="C45" s="11">
        <v>7.0</v>
      </c>
      <c r="D45" s="6" t="s">
        <v>202</v>
      </c>
      <c r="E45" s="6" t="s">
        <v>203</v>
      </c>
      <c r="F45" s="6" t="s">
        <v>204</v>
      </c>
      <c r="G45" s="8"/>
      <c r="H45" s="25" t="s">
        <v>12</v>
      </c>
    </row>
    <row r="46">
      <c r="A46" s="23" t="s">
        <v>223</v>
      </c>
      <c r="B46" s="16" t="s">
        <v>110</v>
      </c>
      <c r="C46" s="17">
        <v>8.0</v>
      </c>
      <c r="D46" s="28" t="s">
        <v>111</v>
      </c>
      <c r="E46" s="29" t="s">
        <v>112</v>
      </c>
      <c r="F46" s="18" t="s">
        <v>113</v>
      </c>
      <c r="G46" s="18" t="s">
        <v>114</v>
      </c>
      <c r="H46" s="14" t="s">
        <v>12</v>
      </c>
    </row>
    <row r="47">
      <c r="A47" s="23" t="s">
        <v>224</v>
      </c>
      <c r="B47" s="23" t="s">
        <v>225</v>
      </c>
      <c r="C47" s="17">
        <v>5.0</v>
      </c>
      <c r="D47" s="18" t="s">
        <v>226</v>
      </c>
      <c r="E47" s="18" t="s">
        <v>227</v>
      </c>
      <c r="F47" s="18" t="s">
        <v>228</v>
      </c>
      <c r="G47" s="10"/>
      <c r="H47" s="13" t="s">
        <v>12</v>
      </c>
    </row>
    <row r="48">
      <c r="A48" s="16" t="s">
        <v>229</v>
      </c>
      <c r="B48" s="16" t="s">
        <v>230</v>
      </c>
      <c r="C48" s="17">
        <v>6.0</v>
      </c>
      <c r="D48" s="10" t="s">
        <v>231</v>
      </c>
      <c r="E48" s="10" t="s">
        <v>232</v>
      </c>
      <c r="F48" s="10" t="s">
        <v>233</v>
      </c>
      <c r="G48" s="10" t="s">
        <v>234</v>
      </c>
      <c r="H48" s="14" t="s">
        <v>12</v>
      </c>
    </row>
    <row r="49">
      <c r="A49" s="6" t="s">
        <v>235</v>
      </c>
      <c r="B49" s="6" t="s">
        <v>236</v>
      </c>
      <c r="C49" s="7">
        <v>7.0</v>
      </c>
      <c r="D49" s="6" t="s">
        <v>237</v>
      </c>
      <c r="E49" s="6" t="s">
        <v>238</v>
      </c>
      <c r="F49" s="6" t="s">
        <v>239</v>
      </c>
      <c r="G49" s="6" t="s">
        <v>240</v>
      </c>
      <c r="H49" s="14" t="s">
        <v>12</v>
      </c>
    </row>
    <row r="50">
      <c r="A50" s="32" t="s">
        <v>241</v>
      </c>
      <c r="B50" s="32" t="s">
        <v>242</v>
      </c>
      <c r="C50" s="37">
        <v>6.0</v>
      </c>
      <c r="D50" s="21" t="s">
        <v>243</v>
      </c>
      <c r="E50" s="6" t="s">
        <v>244</v>
      </c>
      <c r="F50" s="6" t="s">
        <v>245</v>
      </c>
      <c r="G50" s="6" t="s">
        <v>246</v>
      </c>
      <c r="H50" s="14" t="s">
        <v>12</v>
      </c>
    </row>
    <row r="51">
      <c r="A51" s="10" t="s">
        <v>247</v>
      </c>
      <c r="B51" s="10" t="s">
        <v>248</v>
      </c>
      <c r="C51" s="11">
        <v>8.0</v>
      </c>
      <c r="D51" s="10" t="s">
        <v>249</v>
      </c>
      <c r="E51" s="10" t="s">
        <v>250</v>
      </c>
      <c r="F51" s="10" t="s">
        <v>251</v>
      </c>
      <c r="G51" s="10" t="s">
        <v>252</v>
      </c>
      <c r="H51" s="13" t="s">
        <v>12</v>
      </c>
    </row>
    <row r="52">
      <c r="A52" s="10" t="s">
        <v>253</v>
      </c>
      <c r="B52" s="10" t="s">
        <v>189</v>
      </c>
      <c r="C52" s="11">
        <v>5.0</v>
      </c>
      <c r="D52" s="6" t="s">
        <v>190</v>
      </c>
      <c r="E52" s="6" t="s">
        <v>191</v>
      </c>
      <c r="F52" s="6" t="s">
        <v>254</v>
      </c>
      <c r="G52" s="8"/>
      <c r="H52" s="25" t="s">
        <v>12</v>
      </c>
    </row>
    <row r="53">
      <c r="A53" s="6" t="s">
        <v>255</v>
      </c>
      <c r="B53" s="6" t="s">
        <v>178</v>
      </c>
      <c r="C53" s="7">
        <v>5.0</v>
      </c>
      <c r="D53" s="6" t="s">
        <v>179</v>
      </c>
      <c r="E53" s="6" t="s">
        <v>180</v>
      </c>
      <c r="F53" s="6" t="s">
        <v>181</v>
      </c>
      <c r="G53" s="6" t="s">
        <v>256</v>
      </c>
      <c r="H53" s="14" t="s">
        <v>12</v>
      </c>
    </row>
    <row r="54">
      <c r="A54" s="10" t="s">
        <v>257</v>
      </c>
      <c r="B54" s="10" t="s">
        <v>258</v>
      </c>
      <c r="C54" s="11">
        <v>5.0</v>
      </c>
      <c r="D54" s="10" t="s">
        <v>259</v>
      </c>
      <c r="E54" s="10" t="s">
        <v>260</v>
      </c>
      <c r="F54" s="10" t="s">
        <v>261</v>
      </c>
      <c r="G54" s="33"/>
      <c r="H54" s="34" t="s">
        <v>12</v>
      </c>
    </row>
    <row r="55">
      <c r="A55" s="6" t="s">
        <v>262</v>
      </c>
      <c r="B55" s="6" t="s">
        <v>258</v>
      </c>
      <c r="C55" s="7">
        <v>5.0</v>
      </c>
      <c r="D55" s="6" t="s">
        <v>259</v>
      </c>
      <c r="E55" s="6" t="s">
        <v>260</v>
      </c>
      <c r="F55" s="6" t="s">
        <v>261</v>
      </c>
      <c r="G55" s="8"/>
      <c r="H55" s="25" t="s">
        <v>12</v>
      </c>
    </row>
    <row r="56">
      <c r="A56" s="6" t="s">
        <v>263</v>
      </c>
      <c r="B56" s="6" t="s">
        <v>264</v>
      </c>
      <c r="C56" s="7">
        <v>7.0</v>
      </c>
      <c r="D56" s="6" t="s">
        <v>265</v>
      </c>
      <c r="E56" s="6" t="s">
        <v>266</v>
      </c>
      <c r="F56" s="6" t="s">
        <v>267</v>
      </c>
      <c r="G56" s="6" t="s">
        <v>268</v>
      </c>
      <c r="H56" s="19" t="s">
        <v>12</v>
      </c>
    </row>
    <row r="57">
      <c r="A57" s="6" t="s">
        <v>269</v>
      </c>
      <c r="B57" s="6" t="s">
        <v>270</v>
      </c>
      <c r="C57" s="7">
        <v>5.0</v>
      </c>
      <c r="D57" s="10" t="s">
        <v>124</v>
      </c>
      <c r="E57" s="10" t="s">
        <v>125</v>
      </c>
      <c r="F57" s="10" t="s">
        <v>126</v>
      </c>
      <c r="G57" s="33"/>
      <c r="H57" s="34" t="s">
        <v>12</v>
      </c>
    </row>
    <row r="58">
      <c r="A58" s="38"/>
      <c r="B58" s="39"/>
      <c r="C58" s="40"/>
      <c r="D58" s="39"/>
      <c r="E58" s="38"/>
      <c r="F58" s="39"/>
      <c r="G58" s="39"/>
      <c r="H58" s="41"/>
    </row>
    <row r="59">
      <c r="A59" s="39"/>
      <c r="B59" s="39"/>
      <c r="C59" s="42"/>
      <c r="D59" s="39"/>
      <c r="E59" s="38"/>
      <c r="F59" s="39"/>
      <c r="G59" s="39"/>
      <c r="H59" s="41"/>
    </row>
    <row r="60">
      <c r="A60" s="43"/>
      <c r="B60" s="43"/>
      <c r="C60" s="44"/>
      <c r="D60" s="43"/>
      <c r="E60" s="43"/>
      <c r="F60" s="43"/>
      <c r="G60" s="43"/>
      <c r="H60" s="45"/>
    </row>
    <row r="61">
      <c r="A61" s="39"/>
      <c r="B61" s="39"/>
      <c r="C61" s="42"/>
      <c r="D61" s="39"/>
      <c r="E61" s="39"/>
      <c r="F61" s="39"/>
      <c r="G61" s="39"/>
    </row>
  </sheetData>
  <customSheetViews>
    <customSheetView guid="{3F6F2E03-26CD-4F88-8234-7E094F678808}" filter="1" showAutoFilter="1">
      <autoFilter ref="$A$1:$Z$61">
        <filterColumn colId="2">
          <filters blank="1">
            <filter val="8"/>
          </filters>
        </filterColumn>
      </autoFilter>
    </customSheetView>
  </customSheetView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25"/>
    <col customWidth="1" min="4" max="4" width="4.75"/>
    <col customWidth="1" min="5" max="5" width="32.0"/>
    <col customWidth="1" min="6" max="6" width="30.0"/>
    <col customWidth="1" min="7" max="7" width="26.75"/>
  </cols>
  <sheetData>
    <row r="2">
      <c r="A2" s="46"/>
      <c r="B2" s="47" t="s">
        <v>271</v>
      </c>
      <c r="C2" s="48"/>
      <c r="D2" s="48"/>
      <c r="E2" s="47" t="s">
        <v>272</v>
      </c>
      <c r="F2" s="47" t="s">
        <v>273</v>
      </c>
      <c r="G2" s="48"/>
    </row>
    <row r="3">
      <c r="A3" s="49">
        <v>1.0</v>
      </c>
      <c r="B3" s="50" t="s">
        <v>274</v>
      </c>
      <c r="C3" s="50" t="s">
        <v>242</v>
      </c>
      <c r="D3" s="48"/>
      <c r="E3" s="50" t="s">
        <v>245</v>
      </c>
      <c r="F3" s="50" t="s">
        <v>275</v>
      </c>
      <c r="G3" s="50"/>
    </row>
    <row r="4">
      <c r="A4" s="49">
        <v>2.0</v>
      </c>
      <c r="B4" s="51" t="s">
        <v>276</v>
      </c>
      <c r="C4" s="51" t="s">
        <v>277</v>
      </c>
      <c r="D4" s="52"/>
      <c r="E4" s="53" t="s">
        <v>278</v>
      </c>
      <c r="F4" s="50" t="s">
        <v>279</v>
      </c>
      <c r="G4" s="48"/>
    </row>
    <row r="5">
      <c r="A5" s="49">
        <v>3.0</v>
      </c>
      <c r="B5" s="50" t="s">
        <v>280</v>
      </c>
      <c r="C5" s="50" t="s">
        <v>281</v>
      </c>
      <c r="D5" s="48"/>
      <c r="E5" s="50" t="s">
        <v>282</v>
      </c>
      <c r="F5" s="50" t="s">
        <v>283</v>
      </c>
      <c r="G5" s="48"/>
    </row>
    <row r="6">
      <c r="A6" s="54"/>
      <c r="B6" s="48"/>
      <c r="C6" s="48"/>
      <c r="D6" s="48"/>
      <c r="E6" s="48"/>
      <c r="F6" s="48"/>
      <c r="G6" s="48"/>
    </row>
    <row r="7">
      <c r="A7" s="49"/>
      <c r="B7" s="47" t="s">
        <v>284</v>
      </c>
      <c r="D7" s="48"/>
      <c r="E7" s="48"/>
      <c r="F7" s="48"/>
      <c r="G7" s="48"/>
    </row>
    <row r="8">
      <c r="A8" s="49">
        <v>1.0</v>
      </c>
      <c r="B8" s="50" t="s">
        <v>285</v>
      </c>
      <c r="C8" s="50" t="s">
        <v>286</v>
      </c>
      <c r="D8" s="48"/>
      <c r="E8" s="55" t="s">
        <v>29</v>
      </c>
      <c r="F8" s="50" t="s">
        <v>287</v>
      </c>
      <c r="G8" s="50"/>
    </row>
    <row r="9">
      <c r="A9" s="49">
        <v>2.0</v>
      </c>
      <c r="B9" s="50" t="s">
        <v>288</v>
      </c>
      <c r="C9" s="50" t="s">
        <v>289</v>
      </c>
      <c r="D9" s="48"/>
      <c r="E9" s="50" t="s">
        <v>290</v>
      </c>
      <c r="F9" s="50" t="s">
        <v>291</v>
      </c>
      <c r="G9" s="50" t="s">
        <v>292</v>
      </c>
    </row>
    <row r="10">
      <c r="A10" s="54"/>
      <c r="B10" s="48"/>
      <c r="C10" s="48"/>
      <c r="D10" s="48"/>
      <c r="E10" s="48"/>
      <c r="F10" s="48"/>
      <c r="G10" s="48"/>
    </row>
    <row r="11">
      <c r="A11" s="49"/>
      <c r="B11" s="50" t="s">
        <v>293</v>
      </c>
      <c r="D11" s="48"/>
      <c r="E11" s="48"/>
      <c r="F11" s="48"/>
      <c r="G11" s="48"/>
    </row>
    <row r="12">
      <c r="A12" s="49">
        <v>1.0</v>
      </c>
      <c r="B12" s="50" t="s">
        <v>294</v>
      </c>
      <c r="C12" s="50" t="s">
        <v>117</v>
      </c>
      <c r="D12" s="48"/>
      <c r="E12" s="56" t="s">
        <v>120</v>
      </c>
      <c r="F12" s="50" t="s">
        <v>295</v>
      </c>
      <c r="G12" s="50"/>
    </row>
    <row r="13">
      <c r="A13" s="49">
        <v>2.0</v>
      </c>
      <c r="B13" s="50" t="s">
        <v>296</v>
      </c>
      <c r="C13" s="50" t="s">
        <v>139</v>
      </c>
      <c r="D13" s="48"/>
      <c r="E13" s="57" t="s">
        <v>297</v>
      </c>
      <c r="F13" s="48"/>
      <c r="G13" s="50"/>
    </row>
    <row r="14">
      <c r="A14" s="58">
        <v>3.0</v>
      </c>
      <c r="B14" s="59" t="s">
        <v>298</v>
      </c>
      <c r="C14" s="47" t="s">
        <v>299</v>
      </c>
      <c r="D14" s="50"/>
      <c r="E14" s="60" t="s">
        <v>267</v>
      </c>
      <c r="F14" s="50" t="s">
        <v>300</v>
      </c>
      <c r="G14" s="50"/>
    </row>
    <row r="15">
      <c r="A15" s="58">
        <v>4.0</v>
      </c>
      <c r="B15" s="50" t="s">
        <v>301</v>
      </c>
      <c r="C15" s="50" t="s">
        <v>302</v>
      </c>
      <c r="D15" s="50"/>
      <c r="E15" s="60" t="s">
        <v>66</v>
      </c>
      <c r="F15" s="50" t="s">
        <v>303</v>
      </c>
      <c r="G15" s="50"/>
    </row>
    <row r="16">
      <c r="A16" s="58">
        <v>5.0</v>
      </c>
      <c r="B16" s="61" t="s">
        <v>304</v>
      </c>
      <c r="C16" s="62"/>
      <c r="D16" s="50"/>
      <c r="E16" s="50"/>
      <c r="F16" s="50"/>
      <c r="G16" s="50"/>
    </row>
    <row r="17">
      <c r="A17" s="46"/>
      <c r="B17" s="47"/>
      <c r="C17" s="47"/>
      <c r="D17" s="50"/>
      <c r="E17" s="50"/>
      <c r="F17" s="50"/>
      <c r="G17" s="50"/>
    </row>
    <row r="18">
      <c r="A18" s="46"/>
      <c r="B18" s="47"/>
      <c r="C18" s="47"/>
      <c r="D18" s="50"/>
      <c r="E18" s="50"/>
      <c r="F18" s="50"/>
      <c r="G18" s="50"/>
    </row>
    <row r="19">
      <c r="A19" s="46">
        <v>1.0</v>
      </c>
      <c r="B19" s="47" t="s">
        <v>305</v>
      </c>
      <c r="D19" s="50" t="s">
        <v>306</v>
      </c>
    </row>
    <row r="20">
      <c r="A20" s="5"/>
      <c r="B20" s="50" t="s">
        <v>307</v>
      </c>
      <c r="C20" s="50" t="s">
        <v>308</v>
      </c>
      <c r="D20" s="48"/>
      <c r="E20" s="57" t="s">
        <v>131</v>
      </c>
      <c r="F20" s="48"/>
      <c r="G20" s="50"/>
    </row>
  </sheetData>
  <mergeCells count="4">
    <mergeCell ref="B7:C7"/>
    <mergeCell ref="B11:C11"/>
    <mergeCell ref="B19:C19"/>
    <mergeCell ref="D19:J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3" max="3" width="40.75"/>
    <col customWidth="1" min="4" max="4" width="34.75"/>
    <col customWidth="1" min="5" max="5" width="21.13"/>
  </cols>
  <sheetData>
    <row r="1">
      <c r="A1" s="63" t="s">
        <v>309</v>
      </c>
    </row>
    <row r="2">
      <c r="A2" s="64" t="s">
        <v>310</v>
      </c>
      <c r="D2" s="5"/>
    </row>
    <row r="3">
      <c r="A3" s="46" t="s">
        <v>311</v>
      </c>
      <c r="B3" s="46" t="s">
        <v>312</v>
      </c>
      <c r="C3" s="46" t="s">
        <v>313</v>
      </c>
      <c r="D3" s="5" t="s">
        <v>314</v>
      </c>
    </row>
    <row r="4">
      <c r="A4" s="65">
        <v>46114.0</v>
      </c>
      <c r="B4" s="50" t="s">
        <v>315</v>
      </c>
      <c r="C4" s="48"/>
    </row>
    <row r="5">
      <c r="A5" s="65">
        <v>46119.0</v>
      </c>
      <c r="B5" s="50" t="s">
        <v>315</v>
      </c>
      <c r="C5" s="48"/>
    </row>
    <row r="6">
      <c r="A6" s="66">
        <v>46121.0</v>
      </c>
      <c r="B6" s="47" t="s">
        <v>316</v>
      </c>
      <c r="C6" s="50" t="s">
        <v>317</v>
      </c>
    </row>
    <row r="7">
      <c r="A7" s="65">
        <v>46126.0</v>
      </c>
      <c r="B7" s="50" t="s">
        <v>315</v>
      </c>
      <c r="C7" s="48"/>
    </row>
    <row r="8">
      <c r="A8" s="65">
        <v>46128.0</v>
      </c>
      <c r="B8" s="50" t="s">
        <v>315</v>
      </c>
      <c r="C8" s="48"/>
    </row>
    <row r="9">
      <c r="A9" s="65">
        <v>46133.0</v>
      </c>
      <c r="B9" s="50" t="s">
        <v>315</v>
      </c>
      <c r="C9" s="48"/>
    </row>
    <row r="10">
      <c r="A10" s="65">
        <v>45770.0</v>
      </c>
      <c r="B10" s="50" t="s">
        <v>315</v>
      </c>
      <c r="C10" s="50"/>
      <c r="D10" s="5"/>
    </row>
    <row r="11">
      <c r="A11" s="65">
        <v>46140.0</v>
      </c>
      <c r="B11" s="50" t="s">
        <v>315</v>
      </c>
      <c r="D11" s="5"/>
    </row>
    <row r="12">
      <c r="A12" s="65">
        <v>46142.0</v>
      </c>
      <c r="B12" s="50" t="s">
        <v>315</v>
      </c>
      <c r="C12" s="48"/>
    </row>
    <row r="13">
      <c r="A13" s="65">
        <v>46147.0</v>
      </c>
      <c r="B13" s="50" t="s">
        <v>315</v>
      </c>
      <c r="C13" s="50"/>
    </row>
    <row r="14">
      <c r="A14" s="65">
        <v>46149.0</v>
      </c>
      <c r="B14" s="50" t="s">
        <v>315</v>
      </c>
      <c r="C14" s="47"/>
      <c r="D14" s="46"/>
    </row>
    <row r="15">
      <c r="A15" s="65">
        <v>46154.0</v>
      </c>
      <c r="B15" s="50" t="s">
        <v>315</v>
      </c>
      <c r="C15" s="48"/>
    </row>
    <row r="16">
      <c r="A16" s="65">
        <v>45791.0</v>
      </c>
      <c r="B16" s="50" t="s">
        <v>315</v>
      </c>
      <c r="C16" s="47"/>
      <c r="D16" s="67"/>
    </row>
    <row r="17">
      <c r="A17" s="65">
        <v>45792.0</v>
      </c>
      <c r="B17" s="50" t="s">
        <v>315</v>
      </c>
      <c r="C17" s="47"/>
      <c r="D17" s="67"/>
    </row>
    <row r="18">
      <c r="A18" s="65">
        <v>46161.0</v>
      </c>
      <c r="B18" s="50" t="s">
        <v>315</v>
      </c>
      <c r="C18" s="47"/>
      <c r="D18" s="67"/>
    </row>
    <row r="19">
      <c r="A19" s="68">
        <v>46163.0</v>
      </c>
      <c r="B19" s="61" t="s">
        <v>318</v>
      </c>
      <c r="C19" s="62" t="s">
        <v>319</v>
      </c>
    </row>
    <row r="20">
      <c r="A20" s="65"/>
      <c r="B20" s="50"/>
      <c r="D20" s="46"/>
    </row>
    <row r="21">
      <c r="A21" s="65"/>
      <c r="C21" s="48"/>
      <c r="E21" s="69"/>
    </row>
    <row r="22">
      <c r="A22" s="70"/>
    </row>
    <row r="23">
      <c r="A23" s="71"/>
      <c r="C23" s="46"/>
      <c r="D23" s="46"/>
    </row>
    <row r="24">
      <c r="A24" s="71"/>
      <c r="C24" s="46"/>
      <c r="D24" s="46"/>
    </row>
    <row r="25">
      <c r="A25" s="70"/>
    </row>
    <row r="26">
      <c r="A26" s="70"/>
    </row>
    <row r="27">
      <c r="A27" s="71"/>
      <c r="C27" s="46"/>
      <c r="D27" s="46"/>
    </row>
  </sheetData>
  <mergeCells count="4">
    <mergeCell ref="A1:D1"/>
    <mergeCell ref="A2:C2"/>
    <mergeCell ref="B11:C11"/>
    <mergeCell ref="C19:D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3.0"/>
    <col customWidth="1" min="3" max="3" width="23.13"/>
    <col customWidth="1" min="4" max="4" width="8.25"/>
    <col customWidth="1" min="5" max="5" width="19.75"/>
    <col customWidth="1" min="6" max="6" width="41.75"/>
    <col customWidth="1" min="7" max="7" width="8.13"/>
    <col customWidth="1" min="8" max="8" width="11.75"/>
    <col customWidth="1" min="9" max="9" width="16.88"/>
    <col customWidth="1" min="10" max="10" width="27.0"/>
    <col customWidth="1" min="11" max="11" width="30.38"/>
    <col customWidth="1" min="12" max="12" width="46.5"/>
  </cols>
  <sheetData>
    <row r="1" ht="25.5" customHeight="1">
      <c r="A1" s="46"/>
      <c r="B1" s="46"/>
      <c r="C1" s="72" t="s">
        <v>320</v>
      </c>
      <c r="D1" s="73"/>
      <c r="E1" s="73"/>
      <c r="F1" s="74"/>
      <c r="G1" s="5"/>
      <c r="H1" s="5"/>
      <c r="K1" s="5"/>
      <c r="L1" s="5"/>
    </row>
    <row r="2">
      <c r="A2" s="75" t="s">
        <v>321</v>
      </c>
      <c r="K2" s="5"/>
      <c r="L2" s="5"/>
    </row>
    <row r="3">
      <c r="A3" s="46"/>
      <c r="B3" s="46"/>
      <c r="C3" s="76" t="s">
        <v>322</v>
      </c>
      <c r="G3" s="5"/>
      <c r="H3" s="5"/>
      <c r="K3" s="5"/>
      <c r="L3" s="5"/>
    </row>
    <row r="4">
      <c r="A4" s="77" t="s">
        <v>323</v>
      </c>
      <c r="B4" s="77" t="s">
        <v>324</v>
      </c>
      <c r="C4" s="77" t="s">
        <v>325</v>
      </c>
      <c r="D4" s="78" t="s">
        <v>326</v>
      </c>
      <c r="E4" s="77" t="s">
        <v>327</v>
      </c>
      <c r="F4" s="77" t="s">
        <v>328</v>
      </c>
      <c r="G4" s="79" t="s">
        <v>329</v>
      </c>
      <c r="H4" s="80" t="s">
        <v>330</v>
      </c>
      <c r="I4" s="28" t="s">
        <v>331</v>
      </c>
      <c r="J4" s="28" t="s">
        <v>332</v>
      </c>
      <c r="K4" s="81" t="s">
        <v>333</v>
      </c>
      <c r="L4" s="74"/>
    </row>
    <row r="5" ht="8.25" customHeight="1">
      <c r="A5" s="82"/>
      <c r="B5" s="82"/>
      <c r="C5" s="82"/>
      <c r="D5" s="83"/>
      <c r="E5" s="82"/>
      <c r="F5" s="82"/>
      <c r="G5" s="84"/>
      <c r="H5" s="84"/>
      <c r="I5" s="84"/>
      <c r="J5" s="84"/>
      <c r="K5" s="84"/>
      <c r="L5" s="84"/>
    </row>
    <row r="6">
      <c r="A6" s="85">
        <v>46130.0</v>
      </c>
      <c r="B6" s="86">
        <v>0.5416666666666666</v>
      </c>
      <c r="C6" s="87" t="s">
        <v>334</v>
      </c>
      <c r="D6" s="88">
        <v>46150.0</v>
      </c>
      <c r="E6" s="87" t="s">
        <v>335</v>
      </c>
      <c r="F6" s="89" t="s">
        <v>336</v>
      </c>
      <c r="G6" s="90" t="s">
        <v>337</v>
      </c>
      <c r="H6" s="90" t="s">
        <v>338</v>
      </c>
      <c r="I6" s="91" t="s">
        <v>339</v>
      </c>
      <c r="K6" s="92" t="s">
        <v>340</v>
      </c>
      <c r="L6" s="93" t="s">
        <v>341</v>
      </c>
    </row>
    <row r="7" ht="9.0" customHeight="1">
      <c r="A7" s="94"/>
      <c r="B7" s="95"/>
      <c r="C7" s="96"/>
      <c r="D7" s="95"/>
      <c r="E7" s="96"/>
      <c r="F7" s="97"/>
      <c r="G7" s="95"/>
      <c r="H7" s="95"/>
      <c r="I7" s="96"/>
      <c r="J7" s="98"/>
      <c r="K7" s="99"/>
      <c r="L7" s="99"/>
    </row>
    <row r="8" ht="21.75" customHeight="1">
      <c r="A8" s="100">
        <v>46134.0</v>
      </c>
      <c r="B8" s="101">
        <v>0.6875</v>
      </c>
      <c r="C8" s="28" t="s">
        <v>342</v>
      </c>
      <c r="D8" s="102">
        <v>46181.0</v>
      </c>
      <c r="E8" s="103" t="s">
        <v>343</v>
      </c>
      <c r="F8" s="104" t="s">
        <v>344</v>
      </c>
      <c r="G8" s="105">
        <v>0.13194444444444445</v>
      </c>
      <c r="H8" s="105">
        <v>0.14583333333333334</v>
      </c>
      <c r="I8" s="106" t="s">
        <v>345</v>
      </c>
      <c r="J8" s="107" t="s">
        <v>346</v>
      </c>
      <c r="K8" s="108" t="s">
        <v>347</v>
      </c>
      <c r="L8" s="99"/>
    </row>
    <row r="9" ht="9.75" customHeight="1">
      <c r="A9" s="109"/>
      <c r="B9" s="110"/>
      <c r="C9" s="111"/>
      <c r="D9" s="112"/>
      <c r="E9" s="111"/>
      <c r="F9" s="113"/>
      <c r="G9" s="114"/>
      <c r="H9" s="115"/>
      <c r="I9" s="116"/>
      <c r="J9" s="48"/>
      <c r="K9" s="99"/>
      <c r="L9" s="99"/>
    </row>
    <row r="10" ht="26.25" customHeight="1">
      <c r="A10" s="100">
        <v>46148.0</v>
      </c>
      <c r="B10" s="101">
        <v>0.6770833333333334</v>
      </c>
      <c r="C10" s="28" t="s">
        <v>348</v>
      </c>
      <c r="D10" s="102">
        <v>46181.0</v>
      </c>
      <c r="E10" s="117" t="s">
        <v>349</v>
      </c>
      <c r="F10" s="89" t="s">
        <v>350</v>
      </c>
      <c r="G10" s="105">
        <v>0.12569444444444444</v>
      </c>
      <c r="H10" s="105">
        <v>0.13541666666666666</v>
      </c>
      <c r="I10" s="106" t="s">
        <v>351</v>
      </c>
      <c r="J10" s="107" t="s">
        <v>352</v>
      </c>
      <c r="K10" s="118" t="s">
        <v>353</v>
      </c>
      <c r="L10" s="99"/>
    </row>
    <row r="11" ht="9.0" customHeight="1">
      <c r="A11" s="119"/>
      <c r="B11" s="120"/>
      <c r="C11" s="121"/>
      <c r="D11" s="122"/>
      <c r="E11" s="121"/>
      <c r="F11" s="123"/>
      <c r="G11" s="124"/>
      <c r="H11" s="125"/>
      <c r="I11" s="126"/>
      <c r="J11" s="127"/>
      <c r="K11" s="99"/>
      <c r="L11" s="99"/>
    </row>
    <row r="12" ht="24.0" customHeight="1">
      <c r="A12" s="100">
        <v>46151.0</v>
      </c>
      <c r="B12" s="101">
        <v>0.375</v>
      </c>
      <c r="C12" s="28" t="s">
        <v>334</v>
      </c>
      <c r="D12" s="102">
        <v>46150.0</v>
      </c>
      <c r="E12" s="28" t="s">
        <v>335</v>
      </c>
      <c r="F12" s="89" t="s">
        <v>336</v>
      </c>
      <c r="G12" s="90" t="s">
        <v>337</v>
      </c>
      <c r="H12" s="90" t="s">
        <v>338</v>
      </c>
      <c r="I12" s="91" t="s">
        <v>354</v>
      </c>
      <c r="J12" s="28"/>
      <c r="K12" s="128"/>
      <c r="L12" s="93"/>
    </row>
    <row r="13" ht="9.0" customHeight="1">
      <c r="A13" s="109"/>
      <c r="B13" s="114"/>
      <c r="C13" s="111"/>
      <c r="D13" s="112"/>
      <c r="E13" s="111"/>
      <c r="F13" s="129"/>
      <c r="G13" s="114"/>
      <c r="H13" s="114"/>
      <c r="I13" s="130"/>
      <c r="J13" s="111"/>
      <c r="K13" s="128"/>
      <c r="L13" s="93"/>
    </row>
    <row r="14">
      <c r="A14" s="100">
        <v>46155.0</v>
      </c>
      <c r="B14" s="131">
        <v>0.16666666666666666</v>
      </c>
      <c r="C14" s="28" t="s">
        <v>355</v>
      </c>
      <c r="D14" s="102">
        <v>46181.0</v>
      </c>
      <c r="E14" s="28" t="s">
        <v>356</v>
      </c>
      <c r="F14" s="89" t="s">
        <v>357</v>
      </c>
      <c r="G14" s="131">
        <v>0.11805555555555555</v>
      </c>
      <c r="H14" s="131">
        <v>0.125</v>
      </c>
      <c r="I14" s="132"/>
      <c r="J14" s="28" t="s">
        <v>358</v>
      </c>
      <c r="K14" s="128" t="s">
        <v>359</v>
      </c>
      <c r="L14" s="93" t="s">
        <v>360</v>
      </c>
    </row>
    <row r="15" ht="9.0" customHeight="1">
      <c r="A15" s="133"/>
      <c r="B15" s="134"/>
      <c r="C15" s="127"/>
      <c r="D15" s="134"/>
      <c r="E15" s="127"/>
      <c r="F15" s="135"/>
      <c r="G15" s="134"/>
      <c r="H15" s="134"/>
      <c r="I15" s="127"/>
      <c r="J15" s="127"/>
      <c r="K15" s="99"/>
      <c r="L15" s="99"/>
    </row>
    <row r="16">
      <c r="A16" s="100">
        <v>46157.0</v>
      </c>
      <c r="B16" s="90" t="s">
        <v>361</v>
      </c>
      <c r="C16" s="28" t="s">
        <v>362</v>
      </c>
      <c r="D16" s="102">
        <v>45420.0</v>
      </c>
      <c r="E16" s="28" t="s">
        <v>363</v>
      </c>
      <c r="F16" s="136" t="s">
        <v>364</v>
      </c>
      <c r="G16" s="90" t="s">
        <v>365</v>
      </c>
      <c r="H16" s="90" t="s">
        <v>366</v>
      </c>
      <c r="I16" s="91" t="s">
        <v>345</v>
      </c>
      <c r="J16" s="28" t="s">
        <v>367</v>
      </c>
      <c r="K16" s="137" t="s">
        <v>368</v>
      </c>
      <c r="L16" s="93" t="s">
        <v>369</v>
      </c>
    </row>
    <row r="17" ht="6.0" customHeight="1">
      <c r="A17" s="138"/>
      <c r="B17" s="139"/>
      <c r="C17" s="140"/>
      <c r="D17" s="141"/>
      <c r="E17" s="140"/>
      <c r="F17" s="142"/>
      <c r="G17" s="143"/>
      <c r="H17" s="139"/>
      <c r="I17" s="144"/>
      <c r="J17" s="140"/>
      <c r="K17" s="137"/>
      <c r="L17" s="93"/>
    </row>
    <row r="18" ht="19.5" customHeight="1">
      <c r="A18" s="100">
        <v>46163.0</v>
      </c>
      <c r="B18" s="101">
        <v>0.65625</v>
      </c>
      <c r="C18" s="28" t="s">
        <v>370</v>
      </c>
      <c r="D18" s="102">
        <v>45420.0</v>
      </c>
      <c r="E18" s="28" t="s">
        <v>371</v>
      </c>
      <c r="F18" s="145" t="s">
        <v>372</v>
      </c>
      <c r="G18" s="90" t="s">
        <v>337</v>
      </c>
      <c r="H18" s="90" t="s">
        <v>373</v>
      </c>
      <c r="I18" s="91" t="s">
        <v>345</v>
      </c>
      <c r="J18" s="84"/>
      <c r="K18" s="99"/>
      <c r="L18" s="99"/>
    </row>
    <row r="19">
      <c r="G19" s="46"/>
    </row>
    <row r="22">
      <c r="A22" s="146"/>
      <c r="B22" s="147"/>
      <c r="G22" s="46"/>
      <c r="H22" s="148"/>
      <c r="I22" s="46"/>
      <c r="J22" s="46"/>
      <c r="K22" s="46"/>
    </row>
    <row r="23">
      <c r="G23" s="146"/>
      <c r="H23" s="147"/>
      <c r="K23" s="149"/>
    </row>
    <row r="24">
      <c r="G24" s="146"/>
      <c r="H24" s="147"/>
      <c r="K24" s="150"/>
    </row>
    <row r="25">
      <c r="G25" s="146"/>
      <c r="H25" s="147"/>
    </row>
    <row r="26">
      <c r="G26" s="146"/>
      <c r="H26" s="147"/>
      <c r="K26" s="151"/>
    </row>
    <row r="27">
      <c r="G27" s="146"/>
    </row>
  </sheetData>
  <mergeCells count="6">
    <mergeCell ref="C1:F1"/>
    <mergeCell ref="A2:I2"/>
    <mergeCell ref="C3:F3"/>
    <mergeCell ref="K4:L4"/>
    <mergeCell ref="G21:L21"/>
    <mergeCell ref="C23:E23"/>
  </mergeCells>
  <hyperlinks>
    <hyperlink r:id="rId1" ref="I6"/>
    <hyperlink r:id="rId2" ref="K6"/>
    <hyperlink r:id="rId3" ref="I8"/>
    <hyperlink r:id="rId4" ref="I10"/>
    <hyperlink r:id="rId5" ref="I12"/>
    <hyperlink r:id="rId6" ref="F16"/>
    <hyperlink r:id="rId7" ref="I16"/>
    <hyperlink r:id="rId8" ref="I1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2.0"/>
    <col customWidth="1" min="12" max="12" width="14.75"/>
    <col customWidth="1" min="13" max="13" width="13.5"/>
    <col customWidth="1" min="14" max="14" width="14.75"/>
    <col customWidth="1" min="15" max="15" width="19.0"/>
    <col customWidth="1" min="17" max="17" width="17.38"/>
    <col customWidth="1" min="18" max="18" width="13.75"/>
    <col customWidth="1" min="19" max="19" width="16.25"/>
    <col customWidth="1" min="20" max="20" width="14.38"/>
    <col customWidth="1" min="21" max="21" width="14.75"/>
    <col customWidth="1" min="22" max="22" width="17.25"/>
  </cols>
  <sheetData>
    <row r="1">
      <c r="A1" s="152" t="s">
        <v>374</v>
      </c>
      <c r="B1" s="153"/>
      <c r="D1" s="154"/>
      <c r="E1" s="154"/>
      <c r="F1" s="154"/>
      <c r="G1" s="154"/>
      <c r="H1" s="154"/>
    </row>
    <row r="2">
      <c r="A2" s="152" t="s">
        <v>375</v>
      </c>
      <c r="B2" s="155" t="s">
        <v>376</v>
      </c>
      <c r="C2" s="156"/>
      <c r="D2" s="156"/>
      <c r="E2" s="156"/>
      <c r="F2" s="156"/>
      <c r="G2" s="156"/>
      <c r="H2" s="156"/>
    </row>
    <row r="3">
      <c r="A3" s="157" t="s">
        <v>377</v>
      </c>
      <c r="B3" s="152" t="s">
        <v>378</v>
      </c>
    </row>
    <row r="4">
      <c r="A4" s="157" t="s">
        <v>379</v>
      </c>
      <c r="B4" s="158">
        <v>0.13194444444444445</v>
      </c>
      <c r="C4" s="159"/>
      <c r="D4" s="156"/>
      <c r="E4" s="156"/>
      <c r="F4" s="156"/>
      <c r="G4" s="156"/>
      <c r="H4" s="156"/>
    </row>
    <row r="5">
      <c r="A5" s="160" t="s">
        <v>380</v>
      </c>
      <c r="B5" s="161" t="s">
        <v>381</v>
      </c>
      <c r="C5" s="157"/>
      <c r="D5" s="157"/>
      <c r="E5" s="157"/>
      <c r="F5" s="157"/>
      <c r="G5" s="157"/>
      <c r="H5" s="157"/>
    </row>
    <row r="6">
      <c r="A6" s="157"/>
      <c r="B6" s="162" t="s">
        <v>382</v>
      </c>
      <c r="C6" s="157"/>
      <c r="D6" s="157"/>
      <c r="E6" s="157"/>
      <c r="F6" s="157"/>
      <c r="G6" s="157"/>
      <c r="H6" s="157"/>
      <c r="L6" s="5" t="s">
        <v>129</v>
      </c>
      <c r="M6" s="5" t="s">
        <v>383</v>
      </c>
      <c r="N6" s="5" t="s">
        <v>384</v>
      </c>
      <c r="O6" s="5" t="s">
        <v>217</v>
      </c>
      <c r="P6" s="5" t="s">
        <v>385</v>
      </c>
      <c r="Q6" s="5" t="s">
        <v>386</v>
      </c>
      <c r="R6" s="5" t="s">
        <v>387</v>
      </c>
      <c r="S6" s="5" t="s">
        <v>191</v>
      </c>
      <c r="T6" s="163" t="s">
        <v>388</v>
      </c>
      <c r="U6" s="164" t="s">
        <v>389</v>
      </c>
      <c r="V6" s="164" t="s">
        <v>232</v>
      </c>
    </row>
    <row r="7">
      <c r="A7" s="165"/>
      <c r="B7" s="165"/>
      <c r="C7" s="165"/>
      <c r="D7" s="165"/>
      <c r="E7" s="165"/>
      <c r="F7" s="165"/>
      <c r="G7" s="165"/>
      <c r="H7" s="165"/>
      <c r="L7" s="166" t="s">
        <v>390</v>
      </c>
      <c r="M7" s="166" t="s">
        <v>391</v>
      </c>
      <c r="N7" s="166" t="s">
        <v>392</v>
      </c>
      <c r="O7" s="166" t="s">
        <v>220</v>
      </c>
      <c r="P7" s="166" t="s">
        <v>393</v>
      </c>
      <c r="Q7" s="166" t="s">
        <v>394</v>
      </c>
      <c r="R7" s="166" t="s">
        <v>182</v>
      </c>
      <c r="S7" s="166" t="s">
        <v>395</v>
      </c>
      <c r="T7" s="166" t="s">
        <v>396</v>
      </c>
      <c r="U7" s="166" t="s">
        <v>255</v>
      </c>
      <c r="V7" s="166" t="s">
        <v>397</v>
      </c>
    </row>
    <row r="8">
      <c r="A8" s="167"/>
      <c r="B8" s="168" t="s">
        <v>398</v>
      </c>
      <c r="C8" s="169" t="s">
        <v>399</v>
      </c>
      <c r="D8" s="168" t="s">
        <v>400</v>
      </c>
      <c r="E8" s="170" t="s">
        <v>401</v>
      </c>
      <c r="F8" s="171" t="s">
        <v>402</v>
      </c>
      <c r="G8" s="171"/>
      <c r="H8" s="171" t="s">
        <v>403</v>
      </c>
      <c r="L8" s="166" t="s">
        <v>404</v>
      </c>
      <c r="M8" s="166" t="s">
        <v>405</v>
      </c>
      <c r="N8" s="166" t="s">
        <v>406</v>
      </c>
      <c r="O8" s="166" t="s">
        <v>215</v>
      </c>
      <c r="P8" s="166" t="s">
        <v>407</v>
      </c>
      <c r="Q8" s="166" t="s">
        <v>408</v>
      </c>
      <c r="R8" s="166" t="s">
        <v>409</v>
      </c>
      <c r="S8" s="166" t="s">
        <v>188</v>
      </c>
      <c r="T8" s="166" t="s">
        <v>410</v>
      </c>
      <c r="U8" s="166" t="s">
        <v>411</v>
      </c>
      <c r="V8" s="166" t="s">
        <v>229</v>
      </c>
    </row>
    <row r="9">
      <c r="A9" s="172">
        <v>1.0</v>
      </c>
      <c r="B9" s="163"/>
      <c r="C9" s="163"/>
      <c r="D9" s="163"/>
      <c r="E9" s="173"/>
      <c r="F9" s="173"/>
      <c r="G9" s="173"/>
      <c r="H9" s="174"/>
      <c r="L9" s="166" t="s">
        <v>241</v>
      </c>
      <c r="M9" s="166"/>
      <c r="N9" s="166" t="s">
        <v>412</v>
      </c>
      <c r="O9" s="166" t="s">
        <v>413</v>
      </c>
      <c r="P9" s="166" t="s">
        <v>414</v>
      </c>
      <c r="Q9" s="166" t="s">
        <v>415</v>
      </c>
      <c r="R9" s="166" t="s">
        <v>416</v>
      </c>
      <c r="S9" s="166" t="s">
        <v>417</v>
      </c>
      <c r="T9" s="166" t="s">
        <v>418</v>
      </c>
      <c r="U9" s="175" t="s">
        <v>419</v>
      </c>
      <c r="V9" s="175" t="s">
        <v>420</v>
      </c>
    </row>
    <row r="10">
      <c r="A10" s="172">
        <v>2.0</v>
      </c>
      <c r="B10" s="163"/>
      <c r="C10" s="163"/>
      <c r="D10" s="163"/>
      <c r="E10" s="173"/>
      <c r="F10" s="173"/>
      <c r="G10" s="173"/>
      <c r="H10" s="163"/>
      <c r="L10" s="166" t="s">
        <v>421</v>
      </c>
      <c r="M10" s="166" t="s">
        <v>422</v>
      </c>
      <c r="N10" s="166" t="s">
        <v>423</v>
      </c>
      <c r="O10" s="166" t="s">
        <v>424</v>
      </c>
      <c r="P10" s="166" t="s">
        <v>425</v>
      </c>
      <c r="R10" s="166" t="s">
        <v>426</v>
      </c>
      <c r="S10" s="166" t="s">
        <v>427</v>
      </c>
      <c r="T10" s="166" t="s">
        <v>428</v>
      </c>
      <c r="U10" s="176"/>
      <c r="V10" s="176"/>
    </row>
    <row r="11">
      <c r="A11" s="172">
        <v>3.0</v>
      </c>
      <c r="B11" s="163"/>
      <c r="C11" s="163"/>
      <c r="D11" s="163"/>
      <c r="E11" s="173"/>
      <c r="F11" s="173"/>
      <c r="G11" s="173"/>
      <c r="H11" s="163"/>
      <c r="L11" s="166" t="s">
        <v>429</v>
      </c>
      <c r="M11" s="166" t="s">
        <v>430</v>
      </c>
      <c r="N11" s="166" t="s">
        <v>431</v>
      </c>
      <c r="O11" s="166" t="s">
        <v>432</v>
      </c>
      <c r="P11" s="166" t="s">
        <v>433</v>
      </c>
      <c r="R11" s="166" t="s">
        <v>434</v>
      </c>
      <c r="S11" s="166" t="s">
        <v>435</v>
      </c>
    </row>
    <row r="12">
      <c r="A12" s="172">
        <v>5.0</v>
      </c>
      <c r="B12" s="163"/>
      <c r="C12" s="163"/>
      <c r="D12" s="163"/>
      <c r="E12" s="173"/>
      <c r="F12" s="173"/>
      <c r="G12" s="173"/>
      <c r="H12" s="163"/>
      <c r="I12" s="67"/>
      <c r="J12" s="67"/>
      <c r="K12" s="67"/>
      <c r="L12" s="175" t="s">
        <v>436</v>
      </c>
      <c r="M12" s="67"/>
      <c r="N12" s="175" t="s">
        <v>437</v>
      </c>
      <c r="O12" s="175" t="s">
        <v>438</v>
      </c>
      <c r="P12" s="175" t="s">
        <v>439</v>
      </c>
      <c r="Q12" s="67"/>
      <c r="R12" s="67"/>
      <c r="S12" s="177"/>
      <c r="T12" s="67"/>
      <c r="U12" s="67"/>
      <c r="V12" s="67"/>
      <c r="W12" s="67"/>
      <c r="X12" s="67"/>
      <c r="Y12" s="67"/>
      <c r="Z12" s="67"/>
      <c r="AA12" s="67"/>
    </row>
    <row r="13">
      <c r="A13" s="172">
        <v>6.0</v>
      </c>
      <c r="B13" s="163"/>
      <c r="C13" s="163"/>
      <c r="D13" s="163"/>
      <c r="E13" s="173"/>
      <c r="F13" s="163"/>
      <c r="G13" s="163"/>
      <c r="H13" s="163"/>
      <c r="I13" s="67"/>
      <c r="J13" s="67"/>
      <c r="K13" s="67"/>
      <c r="L13" s="175" t="s">
        <v>440</v>
      </c>
      <c r="M13" s="67"/>
      <c r="N13" s="67"/>
      <c r="O13" s="176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>
      <c r="A14" s="172">
        <v>7.0</v>
      </c>
      <c r="B14" s="163"/>
      <c r="C14" s="163"/>
      <c r="D14" s="163"/>
      <c r="E14" s="173"/>
      <c r="F14" s="173"/>
      <c r="G14" s="173"/>
      <c r="H14" s="163"/>
    </row>
    <row r="15">
      <c r="A15" s="172">
        <v>8.0</v>
      </c>
      <c r="B15" s="163"/>
      <c r="C15" s="163"/>
      <c r="D15" s="163"/>
      <c r="E15" s="163"/>
      <c r="F15" s="163"/>
      <c r="G15" s="163"/>
      <c r="H15" s="174"/>
    </row>
    <row r="16">
      <c r="A16" s="172">
        <v>9.0</v>
      </c>
      <c r="B16" s="163"/>
      <c r="C16" s="163"/>
      <c r="D16" s="163"/>
      <c r="E16" s="163"/>
      <c r="F16" s="163"/>
      <c r="G16" s="163"/>
      <c r="H16" s="163"/>
      <c r="L16" s="43" t="s">
        <v>241</v>
      </c>
      <c r="M16" s="43" t="s">
        <v>242</v>
      </c>
      <c r="N16" s="178">
        <v>5.0</v>
      </c>
      <c r="O16" s="179" t="s">
        <v>441</v>
      </c>
      <c r="P16" s="39" t="s">
        <v>442</v>
      </c>
      <c r="Q16" s="38" t="s">
        <v>443</v>
      </c>
      <c r="R16" s="180">
        <v>8.0</v>
      </c>
      <c r="S16" s="181" t="s">
        <v>441</v>
      </c>
    </row>
    <row r="17">
      <c r="A17" s="172">
        <v>10.0</v>
      </c>
      <c r="B17" s="163"/>
      <c r="C17" s="163"/>
      <c r="D17" s="163"/>
      <c r="E17" s="163"/>
      <c r="F17" s="163"/>
      <c r="G17" s="163"/>
      <c r="H17" s="174"/>
      <c r="L17" s="39" t="s">
        <v>25</v>
      </c>
      <c r="M17" s="39" t="s">
        <v>444</v>
      </c>
      <c r="N17" s="180">
        <v>6.0</v>
      </c>
      <c r="O17" s="181" t="s">
        <v>445</v>
      </c>
      <c r="P17" s="43" t="s">
        <v>171</v>
      </c>
      <c r="Q17" s="182" t="s">
        <v>443</v>
      </c>
      <c r="R17" s="178">
        <v>5.0</v>
      </c>
      <c r="S17" s="179" t="s">
        <v>441</v>
      </c>
    </row>
    <row r="18">
      <c r="A18" s="164">
        <v>11.0</v>
      </c>
      <c r="B18" s="164"/>
      <c r="C18" s="164"/>
      <c r="D18" s="164"/>
      <c r="E18" s="183"/>
      <c r="F18" s="164"/>
      <c r="G18" s="164"/>
      <c r="H18" s="184"/>
      <c r="L18" s="43" t="s">
        <v>188</v>
      </c>
      <c r="M18" s="43" t="s">
        <v>189</v>
      </c>
      <c r="N18" s="178">
        <v>6.0</v>
      </c>
      <c r="O18" s="179" t="s">
        <v>441</v>
      </c>
      <c r="P18" s="39" t="s">
        <v>446</v>
      </c>
      <c r="Q18" s="39" t="s">
        <v>447</v>
      </c>
      <c r="R18" s="180">
        <v>6.0</v>
      </c>
      <c r="S18" s="181" t="s">
        <v>441</v>
      </c>
      <c r="T18" s="45"/>
      <c r="U18" s="45"/>
      <c r="V18" s="185"/>
      <c r="W18" s="179"/>
    </row>
    <row r="19">
      <c r="A19" s="164">
        <v>12.0</v>
      </c>
      <c r="B19" s="164"/>
      <c r="C19" s="164"/>
      <c r="D19" s="164"/>
      <c r="E19" s="183"/>
      <c r="F19" s="164"/>
      <c r="G19" s="164"/>
      <c r="H19" s="184"/>
      <c r="L19" s="39" t="s">
        <v>395</v>
      </c>
      <c r="M19" s="39" t="s">
        <v>189</v>
      </c>
      <c r="N19" s="180">
        <v>8.0</v>
      </c>
      <c r="O19" s="181" t="s">
        <v>441</v>
      </c>
      <c r="P19" s="43" t="s">
        <v>448</v>
      </c>
      <c r="Q19" s="43" t="s">
        <v>449</v>
      </c>
      <c r="R19" s="178">
        <v>5.0</v>
      </c>
      <c r="S19" s="179" t="s">
        <v>441</v>
      </c>
      <c r="T19" s="186"/>
      <c r="U19" s="186"/>
      <c r="V19" s="187"/>
      <c r="W19" s="181"/>
    </row>
    <row r="20">
      <c r="A20" s="152"/>
      <c r="B20" s="157"/>
      <c r="C20" s="157"/>
      <c r="D20" s="157"/>
      <c r="E20" s="188">
        <f>'Meet Attendance'!G62</f>
        <v>0</v>
      </c>
      <c r="F20" s="157"/>
      <c r="G20" s="157"/>
      <c r="H20" s="155" t="s">
        <v>450</v>
      </c>
      <c r="L20" s="43" t="s">
        <v>150</v>
      </c>
      <c r="M20" s="43" t="s">
        <v>151</v>
      </c>
      <c r="N20" s="178">
        <v>6.0</v>
      </c>
      <c r="O20" s="179" t="s">
        <v>441</v>
      </c>
      <c r="P20" s="43" t="s">
        <v>451</v>
      </c>
      <c r="Q20" s="43" t="s">
        <v>452</v>
      </c>
      <c r="R20" s="178">
        <v>8.0</v>
      </c>
      <c r="S20" s="179" t="s">
        <v>441</v>
      </c>
      <c r="T20" s="41"/>
      <c r="U20" s="41"/>
      <c r="V20" s="189"/>
      <c r="W20" s="181"/>
    </row>
    <row r="21">
      <c r="A21" s="157"/>
      <c r="B21" s="157"/>
      <c r="C21" s="157"/>
      <c r="D21" s="157"/>
      <c r="E21" s="190">
        <f t="shared" ref="E21:F21" si="1">sum(E9:E19)</f>
        <v>0</v>
      </c>
      <c r="F21" s="190">
        <f t="shared" si="1"/>
        <v>0</v>
      </c>
      <c r="G21" s="190"/>
      <c r="H21" s="157" t="s">
        <v>453</v>
      </c>
      <c r="L21" s="39" t="s">
        <v>115</v>
      </c>
      <c r="M21" s="39" t="s">
        <v>454</v>
      </c>
      <c r="N21" s="180">
        <v>8.0</v>
      </c>
      <c r="O21" s="181" t="s">
        <v>441</v>
      </c>
      <c r="P21" s="39" t="s">
        <v>138</v>
      </c>
      <c r="Q21" s="39" t="s">
        <v>139</v>
      </c>
      <c r="R21" s="180">
        <v>5.0</v>
      </c>
      <c r="S21" s="181" t="s">
        <v>441</v>
      </c>
      <c r="T21" s="45"/>
      <c r="U21" s="45"/>
      <c r="V21" s="185"/>
      <c r="W21" s="179"/>
    </row>
    <row r="22">
      <c r="A22" s="157"/>
      <c r="B22" s="157"/>
      <c r="C22" s="157"/>
      <c r="D22" s="157"/>
      <c r="E22" s="190">
        <v>0.0</v>
      </c>
      <c r="F22" s="157"/>
      <c r="G22" s="157"/>
      <c r="H22" s="191" t="s">
        <v>455</v>
      </c>
      <c r="L22" s="43" t="s">
        <v>109</v>
      </c>
      <c r="M22" s="43" t="s">
        <v>110</v>
      </c>
      <c r="N22" s="178">
        <v>7.0</v>
      </c>
      <c r="O22" s="179" t="s">
        <v>445</v>
      </c>
      <c r="P22" s="43"/>
      <c r="Q22" s="43"/>
      <c r="R22" s="178"/>
      <c r="S22" s="179"/>
      <c r="T22" s="45"/>
      <c r="U22" s="45"/>
      <c r="V22" s="185"/>
      <c r="W22" s="179"/>
    </row>
    <row r="23">
      <c r="A23" s="157"/>
      <c r="B23" s="157"/>
      <c r="C23" s="157"/>
      <c r="D23" s="157"/>
      <c r="E23" s="192">
        <f>E20-E21-F21</f>
        <v>0</v>
      </c>
      <c r="F23" s="157"/>
      <c r="G23" s="157"/>
      <c r="H23" s="193" t="s">
        <v>456</v>
      </c>
      <c r="L23" s="39" t="s">
        <v>162</v>
      </c>
      <c r="M23" s="39" t="s">
        <v>110</v>
      </c>
      <c r="N23" s="180">
        <v>7.0</v>
      </c>
      <c r="O23" s="181" t="s">
        <v>445</v>
      </c>
      <c r="P23" s="38" t="s">
        <v>85</v>
      </c>
      <c r="Q23" s="38" t="s">
        <v>86</v>
      </c>
      <c r="R23" s="194">
        <v>7.0</v>
      </c>
      <c r="S23" s="181" t="s">
        <v>441</v>
      </c>
      <c r="T23" s="41"/>
      <c r="U23" s="41"/>
      <c r="V23" s="189"/>
      <c r="W23" s="181"/>
    </row>
    <row r="24">
      <c r="L24" s="43" t="s">
        <v>223</v>
      </c>
      <c r="M24" s="43" t="s">
        <v>457</v>
      </c>
      <c r="N24" s="178">
        <v>7.0</v>
      </c>
      <c r="O24" s="179" t="s">
        <v>445</v>
      </c>
      <c r="P24" s="39"/>
      <c r="Q24" s="39"/>
      <c r="R24" s="180"/>
      <c r="S24" s="181"/>
      <c r="T24" s="45"/>
      <c r="U24" s="45"/>
      <c r="V24" s="185"/>
      <c r="W24" s="179"/>
    </row>
    <row r="25">
      <c r="L25" s="39" t="s">
        <v>458</v>
      </c>
      <c r="M25" s="39" t="s">
        <v>459</v>
      </c>
      <c r="N25" s="180">
        <v>8.0</v>
      </c>
      <c r="O25" s="181" t="s">
        <v>441</v>
      </c>
      <c r="P25" s="43"/>
      <c r="Q25" s="43"/>
      <c r="R25" s="178"/>
      <c r="S25" s="179"/>
      <c r="T25" s="41"/>
      <c r="U25" s="41"/>
      <c r="V25" s="189"/>
      <c r="W25" s="181"/>
    </row>
    <row r="26">
      <c r="L26" s="43" t="s">
        <v>460</v>
      </c>
      <c r="M26" s="43" t="s">
        <v>461</v>
      </c>
      <c r="N26" s="178">
        <v>5.0</v>
      </c>
      <c r="O26" s="179" t="s">
        <v>441</v>
      </c>
      <c r="P26" s="43" t="s">
        <v>31</v>
      </c>
      <c r="Q26" s="43" t="s">
        <v>32</v>
      </c>
      <c r="R26" s="178">
        <v>5.0</v>
      </c>
      <c r="S26" s="179" t="s">
        <v>441</v>
      </c>
      <c r="T26" s="45"/>
      <c r="U26" s="45"/>
      <c r="V26" s="185"/>
      <c r="W26" s="179"/>
    </row>
    <row r="27">
      <c r="L27" s="39" t="s">
        <v>392</v>
      </c>
      <c r="M27" s="39" t="s">
        <v>462</v>
      </c>
      <c r="N27" s="180">
        <v>5.0</v>
      </c>
      <c r="O27" s="181" t="s">
        <v>441</v>
      </c>
      <c r="P27" s="39" t="s">
        <v>56</v>
      </c>
      <c r="Q27" s="39" t="s">
        <v>463</v>
      </c>
      <c r="R27" s="180">
        <v>6.0</v>
      </c>
      <c r="S27" s="181" t="s">
        <v>445</v>
      </c>
      <c r="T27" s="186"/>
      <c r="U27" s="41"/>
      <c r="V27" s="189"/>
      <c r="W27" s="181"/>
    </row>
    <row r="28">
      <c r="L28" s="43" t="s">
        <v>464</v>
      </c>
      <c r="M28" s="43" t="s">
        <v>465</v>
      </c>
      <c r="N28" s="178">
        <v>5.0</v>
      </c>
      <c r="O28" s="179" t="s">
        <v>441</v>
      </c>
      <c r="P28" s="43" t="s">
        <v>466</v>
      </c>
      <c r="Q28" s="43" t="s">
        <v>467</v>
      </c>
      <c r="R28" s="178">
        <v>8.0</v>
      </c>
      <c r="S28" s="179" t="s">
        <v>441</v>
      </c>
      <c r="T28" s="41"/>
      <c r="U28" s="41"/>
      <c r="V28" s="189"/>
      <c r="W28" s="181"/>
    </row>
    <row r="29">
      <c r="L29" s="39" t="s">
        <v>7</v>
      </c>
      <c r="M29" s="39" t="s">
        <v>8</v>
      </c>
      <c r="N29" s="180">
        <v>7.0</v>
      </c>
      <c r="O29" s="181" t="s">
        <v>441</v>
      </c>
      <c r="P29" s="39" t="s">
        <v>468</v>
      </c>
      <c r="Q29" s="39" t="s">
        <v>469</v>
      </c>
      <c r="R29" s="180">
        <v>8.0</v>
      </c>
      <c r="S29" s="181" t="s">
        <v>441</v>
      </c>
      <c r="T29" s="45"/>
      <c r="U29" s="45"/>
      <c r="V29" s="185"/>
      <c r="W29" s="179"/>
    </row>
    <row r="30">
      <c r="L30" s="43" t="s">
        <v>470</v>
      </c>
      <c r="M30" s="43" t="s">
        <v>471</v>
      </c>
      <c r="N30" s="178">
        <v>8.0</v>
      </c>
      <c r="O30" s="179" t="s">
        <v>441</v>
      </c>
      <c r="P30" s="43" t="s">
        <v>68</v>
      </c>
      <c r="Q30" s="43" t="s">
        <v>69</v>
      </c>
      <c r="R30" s="178">
        <v>6.0</v>
      </c>
      <c r="S30" s="179" t="s">
        <v>441</v>
      </c>
      <c r="T30" s="41"/>
      <c r="U30" s="41"/>
      <c r="V30" s="189"/>
      <c r="W30" s="181"/>
    </row>
    <row r="31">
      <c r="L31" s="39" t="s">
        <v>182</v>
      </c>
      <c r="M31" s="39" t="s">
        <v>183</v>
      </c>
      <c r="N31" s="180">
        <v>6.0</v>
      </c>
      <c r="O31" s="181" t="s">
        <v>441</v>
      </c>
      <c r="P31" s="38" t="s">
        <v>472</v>
      </c>
      <c r="Q31" s="39" t="s">
        <v>473</v>
      </c>
      <c r="R31" s="180">
        <v>7.0</v>
      </c>
      <c r="S31" s="181" t="s">
        <v>441</v>
      </c>
      <c r="T31" s="45"/>
      <c r="U31" s="45"/>
      <c r="V31" s="185"/>
      <c r="W31" s="179"/>
    </row>
    <row r="32">
      <c r="L32" s="43" t="s">
        <v>19</v>
      </c>
      <c r="M32" s="43" t="s">
        <v>20</v>
      </c>
      <c r="N32" s="178">
        <v>5.0</v>
      </c>
      <c r="O32" s="179" t="s">
        <v>441</v>
      </c>
      <c r="P32" s="39" t="s">
        <v>474</v>
      </c>
      <c r="Q32" s="39" t="s">
        <v>473</v>
      </c>
      <c r="R32" s="180">
        <v>7.0</v>
      </c>
      <c r="S32" s="181" t="s">
        <v>441</v>
      </c>
      <c r="T32" s="41"/>
      <c r="U32" s="41"/>
      <c r="V32" s="189"/>
      <c r="W32" s="181"/>
    </row>
    <row r="33">
      <c r="L33" s="39" t="s">
        <v>115</v>
      </c>
      <c r="M33" s="39" t="s">
        <v>20</v>
      </c>
      <c r="N33" s="180">
        <v>7.0</v>
      </c>
      <c r="O33" s="181" t="s">
        <v>441</v>
      </c>
      <c r="P33" s="43" t="s">
        <v>475</v>
      </c>
      <c r="Q33" s="43" t="s">
        <v>476</v>
      </c>
      <c r="R33" s="178">
        <v>8.0</v>
      </c>
      <c r="S33" s="179" t="s">
        <v>441</v>
      </c>
      <c r="T33" s="45"/>
      <c r="U33" s="45"/>
      <c r="V33" s="185"/>
      <c r="W33" s="179"/>
    </row>
    <row r="34">
      <c r="L34" s="43" t="s">
        <v>477</v>
      </c>
      <c r="M34" s="43" t="s">
        <v>478</v>
      </c>
      <c r="N34" s="178">
        <v>6.0</v>
      </c>
      <c r="O34" s="179" t="s">
        <v>441</v>
      </c>
      <c r="P34" s="39"/>
      <c r="Q34" s="39"/>
      <c r="R34" s="180"/>
      <c r="S34" s="195"/>
      <c r="T34" s="45"/>
      <c r="U34" s="45"/>
      <c r="V34" s="185"/>
      <c r="W34" s="179"/>
    </row>
    <row r="35">
      <c r="L35" s="39" t="s">
        <v>122</v>
      </c>
      <c r="M35" s="39" t="s">
        <v>123</v>
      </c>
      <c r="N35" s="180">
        <v>5.0</v>
      </c>
      <c r="O35" s="181" t="s">
        <v>441</v>
      </c>
      <c r="P35" s="43" t="s">
        <v>404</v>
      </c>
      <c r="Q35" s="43" t="s">
        <v>128</v>
      </c>
      <c r="R35" s="178">
        <v>7.0</v>
      </c>
      <c r="S35" s="179" t="s">
        <v>441</v>
      </c>
      <c r="T35" s="41"/>
      <c r="U35" s="41"/>
      <c r="V35" s="189"/>
      <c r="W35" s="181"/>
    </row>
    <row r="36">
      <c r="L36" s="43"/>
      <c r="M36" s="43"/>
      <c r="N36" s="178"/>
      <c r="O36" s="179"/>
      <c r="P36" s="39" t="s">
        <v>390</v>
      </c>
      <c r="Q36" s="39" t="s">
        <v>128</v>
      </c>
      <c r="R36" s="180">
        <v>5.0</v>
      </c>
      <c r="S36" s="181" t="s">
        <v>441</v>
      </c>
      <c r="T36" s="181"/>
      <c r="U36" s="181"/>
      <c r="V36" s="196"/>
      <c r="W36" s="196"/>
    </row>
    <row r="37">
      <c r="L37" s="39" t="s">
        <v>479</v>
      </c>
      <c r="M37" s="39" t="s">
        <v>480</v>
      </c>
      <c r="N37" s="180">
        <v>8.0</v>
      </c>
      <c r="O37" s="181" t="s">
        <v>441</v>
      </c>
      <c r="P37" s="43" t="s">
        <v>481</v>
      </c>
      <c r="Q37" s="43" t="s">
        <v>482</v>
      </c>
      <c r="R37" s="178">
        <v>8.0</v>
      </c>
      <c r="S37" s="179" t="s">
        <v>441</v>
      </c>
      <c r="T37" s="179"/>
      <c r="U37" s="179"/>
      <c r="V37" s="197"/>
      <c r="W37" s="197"/>
    </row>
    <row r="38">
      <c r="L38" s="43" t="s">
        <v>483</v>
      </c>
      <c r="M38" s="43" t="s">
        <v>145</v>
      </c>
      <c r="N38" s="178">
        <v>8.0</v>
      </c>
      <c r="O38" s="179" t="s">
        <v>441</v>
      </c>
      <c r="P38" s="179"/>
      <c r="Q38" s="179"/>
      <c r="R38" s="185"/>
      <c r="S38" s="179"/>
      <c r="T38" s="179"/>
      <c r="U38" s="179"/>
      <c r="V38" s="197"/>
      <c r="W38" s="197"/>
    </row>
    <row r="39">
      <c r="L39" s="198"/>
      <c r="M39" s="198"/>
      <c r="N39" s="199"/>
      <c r="O39" s="200"/>
      <c r="P39" s="200"/>
      <c r="Q39" s="200"/>
      <c r="R39" s="189"/>
      <c r="S39" s="181"/>
      <c r="T39" s="181"/>
      <c r="U39" s="181"/>
      <c r="V39" s="196"/>
      <c r="W39" s="196"/>
    </row>
    <row r="40">
      <c r="L40" s="43" t="s">
        <v>393</v>
      </c>
      <c r="M40" s="43" t="s">
        <v>484</v>
      </c>
      <c r="N40" s="201">
        <v>8.0</v>
      </c>
      <c r="O40" s="181" t="s">
        <v>441</v>
      </c>
      <c r="P40" s="181"/>
      <c r="Q40" s="181"/>
      <c r="R40" s="197"/>
      <c r="S40" s="197"/>
      <c r="T40" s="197"/>
      <c r="U40" s="197"/>
      <c r="V40" s="197"/>
      <c r="W40" s="197"/>
    </row>
    <row r="41">
      <c r="L41" s="39" t="s">
        <v>485</v>
      </c>
      <c r="M41" s="39" t="s">
        <v>172</v>
      </c>
      <c r="N41" s="180">
        <v>8.0</v>
      </c>
      <c r="O41" s="181" t="s">
        <v>441</v>
      </c>
      <c r="P41" s="181"/>
      <c r="Q41" s="181"/>
      <c r="R41" s="200"/>
      <c r="S41" s="200"/>
      <c r="T41" s="200"/>
      <c r="U41" s="200"/>
      <c r="V41" s="200"/>
      <c r="W41" s="200"/>
    </row>
    <row r="42">
      <c r="L42" s="182"/>
      <c r="M42" s="182"/>
      <c r="N42" s="202"/>
      <c r="O42" s="197"/>
      <c r="P42" s="179"/>
      <c r="Q42" s="197"/>
      <c r="R42" s="196"/>
      <c r="S42" s="196"/>
      <c r="T42" s="196"/>
      <c r="U42" s="196"/>
      <c r="V42" s="196"/>
      <c r="W42" s="196"/>
    </row>
    <row r="43">
      <c r="L43" s="43" t="s">
        <v>486</v>
      </c>
      <c r="M43" s="43" t="s">
        <v>45</v>
      </c>
      <c r="N43" s="178">
        <v>5.0</v>
      </c>
      <c r="O43" s="179" t="s">
        <v>441</v>
      </c>
      <c r="P43" s="179"/>
      <c r="Q43" s="179"/>
      <c r="R43" s="196"/>
      <c r="S43" s="196"/>
      <c r="T43" s="196"/>
      <c r="U43" s="196"/>
      <c r="V43" s="196"/>
      <c r="W43" s="196"/>
    </row>
    <row r="44">
      <c r="L44" s="39" t="s">
        <v>487</v>
      </c>
      <c r="M44" s="39" t="s">
        <v>45</v>
      </c>
      <c r="N44" s="180">
        <v>6.0</v>
      </c>
      <c r="O44" s="181" t="s">
        <v>441</v>
      </c>
      <c r="P44" s="181"/>
      <c r="Q44" s="181"/>
      <c r="R44" s="197"/>
      <c r="S44" s="197"/>
      <c r="T44" s="197"/>
      <c r="U44" s="197"/>
      <c r="V44" s="197"/>
      <c r="W44" s="197"/>
    </row>
    <row r="45">
      <c r="L45" s="182" t="s">
        <v>220</v>
      </c>
      <c r="M45" s="182" t="s">
        <v>216</v>
      </c>
      <c r="N45" s="178">
        <v>7.0</v>
      </c>
      <c r="O45" s="179" t="s">
        <v>441</v>
      </c>
      <c r="P45" s="179"/>
      <c r="Q45" s="179"/>
      <c r="R45" s="197"/>
      <c r="S45" s="197"/>
      <c r="T45" s="197"/>
      <c r="U45" s="197"/>
      <c r="V45" s="197"/>
      <c r="W45" s="197"/>
    </row>
    <row r="46">
      <c r="L46" s="38" t="s">
        <v>215</v>
      </c>
      <c r="M46" s="38" t="s">
        <v>216</v>
      </c>
      <c r="N46" s="180">
        <v>5.0</v>
      </c>
      <c r="O46" s="181" t="s">
        <v>441</v>
      </c>
      <c r="P46" s="181"/>
      <c r="Q46" s="181"/>
      <c r="R46" s="196"/>
      <c r="S46" s="196"/>
      <c r="T46" s="196"/>
      <c r="U46" s="196"/>
      <c r="V46" s="196"/>
      <c r="W46" s="196"/>
    </row>
    <row r="47">
      <c r="L47" s="43" t="s">
        <v>229</v>
      </c>
      <c r="M47" s="43" t="s">
        <v>230</v>
      </c>
      <c r="N47" s="178">
        <v>5.0</v>
      </c>
      <c r="O47" s="179" t="s">
        <v>445</v>
      </c>
      <c r="P47" s="179"/>
      <c r="Q47" s="179"/>
      <c r="R47" s="197"/>
      <c r="S47" s="197"/>
      <c r="T47" s="197"/>
      <c r="U47" s="197"/>
      <c r="V47" s="197"/>
      <c r="W47" s="197"/>
    </row>
    <row r="48">
      <c r="L48" s="39" t="s">
        <v>397</v>
      </c>
      <c r="M48" s="39" t="s">
        <v>230</v>
      </c>
      <c r="N48" s="180">
        <v>8.0</v>
      </c>
      <c r="O48" s="181" t="s">
        <v>445</v>
      </c>
      <c r="P48" s="181"/>
      <c r="Q48" s="181"/>
      <c r="R48" s="196"/>
      <c r="S48" s="196"/>
      <c r="T48" s="196"/>
      <c r="U48" s="196"/>
      <c r="V48" s="196"/>
      <c r="W48" s="196"/>
    </row>
    <row r="49">
      <c r="L49" s="43" t="s">
        <v>488</v>
      </c>
      <c r="M49" s="43" t="s">
        <v>117</v>
      </c>
      <c r="N49" s="178">
        <v>8.0</v>
      </c>
      <c r="O49" s="179" t="s">
        <v>445</v>
      </c>
      <c r="P49" s="179"/>
      <c r="Q49" s="179"/>
      <c r="R49" s="197"/>
      <c r="S49" s="197"/>
      <c r="T49" s="197"/>
      <c r="U49" s="197"/>
      <c r="V49" s="197"/>
      <c r="W49" s="197"/>
    </row>
    <row r="50">
      <c r="L50" s="39" t="s">
        <v>489</v>
      </c>
      <c r="M50" s="39" t="s">
        <v>117</v>
      </c>
      <c r="N50" s="180">
        <v>5.0</v>
      </c>
      <c r="O50" s="181" t="s">
        <v>445</v>
      </c>
      <c r="P50" s="181"/>
      <c r="Q50" s="181"/>
      <c r="R50" s="196"/>
      <c r="S50" s="196"/>
      <c r="T50" s="196"/>
      <c r="U50" s="196"/>
      <c r="V50" s="196"/>
      <c r="W50" s="196"/>
    </row>
    <row r="51">
      <c r="L51" s="43" t="s">
        <v>490</v>
      </c>
      <c r="M51" s="43" t="s">
        <v>491</v>
      </c>
      <c r="N51" s="178">
        <v>8.0</v>
      </c>
      <c r="O51" s="179" t="s">
        <v>441</v>
      </c>
      <c r="P51" s="179"/>
      <c r="Q51" s="179"/>
      <c r="R51" s="197"/>
      <c r="S51" s="197"/>
      <c r="T51" s="197"/>
      <c r="U51" s="197"/>
      <c r="V51" s="197"/>
      <c r="W51" s="197"/>
    </row>
    <row r="52">
      <c r="P52" s="181"/>
      <c r="Q52" s="181"/>
      <c r="R52" s="196"/>
      <c r="S52" s="196"/>
      <c r="T52" s="196"/>
      <c r="U52" s="196"/>
      <c r="V52" s="196"/>
      <c r="W52" s="196"/>
    </row>
    <row r="53">
      <c r="P53" s="179"/>
      <c r="Q53" s="179"/>
      <c r="R53" s="197"/>
      <c r="S53" s="197"/>
      <c r="T53" s="197"/>
      <c r="U53" s="197"/>
      <c r="V53" s="197"/>
      <c r="W53" s="197"/>
    </row>
    <row r="54">
      <c r="P54" s="181"/>
      <c r="Q54" s="181"/>
      <c r="R54" s="196"/>
      <c r="S54" s="196"/>
      <c r="T54" s="196"/>
      <c r="U54" s="196"/>
      <c r="V54" s="196"/>
      <c r="W54" s="196"/>
    </row>
    <row r="55">
      <c r="P55" s="179"/>
      <c r="Q55" s="179"/>
      <c r="R55" s="197"/>
      <c r="S55" s="197"/>
      <c r="T55" s="197"/>
      <c r="U55" s="197"/>
      <c r="V55" s="197"/>
      <c r="W55" s="197"/>
    </row>
    <row r="56">
      <c r="P56" s="179"/>
      <c r="Q56" s="179"/>
      <c r="R56" s="196"/>
      <c r="S56" s="196"/>
      <c r="T56" s="196"/>
      <c r="U56" s="196"/>
      <c r="V56" s="196"/>
      <c r="W56" s="196"/>
    </row>
    <row r="57">
      <c r="P57" s="181"/>
      <c r="Q57" s="181"/>
      <c r="R57" s="197"/>
      <c r="S57" s="197"/>
      <c r="T57" s="197"/>
      <c r="U57" s="197"/>
      <c r="V57" s="197"/>
      <c r="W57" s="197"/>
    </row>
    <row r="58">
      <c r="P58" s="179"/>
      <c r="Q58" s="179"/>
      <c r="R58" s="197"/>
      <c r="S58" s="197"/>
      <c r="T58" s="197"/>
      <c r="U58" s="197"/>
      <c r="V58" s="197"/>
      <c r="W58" s="197"/>
    </row>
    <row r="59">
      <c r="P59" s="196"/>
      <c r="Q59" s="181"/>
      <c r="R59" s="196"/>
      <c r="S59" s="196"/>
      <c r="T59" s="196"/>
      <c r="U59" s="196"/>
      <c r="V59" s="196"/>
      <c r="W59" s="196"/>
    </row>
    <row r="60">
      <c r="P60" s="181"/>
      <c r="Q60" s="181"/>
      <c r="R60" s="197"/>
      <c r="S60" s="197"/>
      <c r="T60" s="197"/>
      <c r="U60" s="197"/>
      <c r="V60" s="197"/>
      <c r="W60" s="197"/>
    </row>
    <row r="61">
      <c r="P61" s="179"/>
      <c r="Q61" s="179"/>
      <c r="R61" s="196"/>
      <c r="S61" s="196"/>
      <c r="T61" s="196"/>
      <c r="U61" s="196"/>
      <c r="V61" s="196"/>
      <c r="W61" s="196"/>
    </row>
    <row r="62">
      <c r="P62" s="179"/>
      <c r="Q62" s="179"/>
      <c r="R62" s="196"/>
      <c r="S62" s="196"/>
      <c r="T62" s="196"/>
      <c r="U62" s="196"/>
      <c r="V62" s="196"/>
      <c r="W62" s="196"/>
    </row>
    <row r="63">
      <c r="P63" s="181"/>
      <c r="Q63" s="181"/>
      <c r="R63" s="197"/>
      <c r="S63" s="197"/>
      <c r="T63" s="197"/>
      <c r="U63" s="197"/>
      <c r="V63" s="197"/>
      <c r="W63" s="197"/>
    </row>
    <row r="64">
      <c r="P64" s="179"/>
      <c r="Q64" s="179"/>
      <c r="R64" s="197"/>
      <c r="S64" s="197"/>
      <c r="T64" s="197"/>
      <c r="U64" s="197"/>
      <c r="V64" s="197"/>
      <c r="W64" s="197"/>
    </row>
    <row r="65">
      <c r="P65" s="181"/>
      <c r="Q65" s="181"/>
      <c r="R65" s="196"/>
      <c r="S65" s="196"/>
      <c r="T65" s="196"/>
      <c r="U65" s="196"/>
      <c r="V65" s="196"/>
      <c r="W65" s="196"/>
    </row>
    <row r="66">
      <c r="P66" s="179"/>
      <c r="Q66" s="179"/>
      <c r="R66" s="197"/>
      <c r="S66" s="197"/>
      <c r="T66" s="197"/>
      <c r="U66" s="197"/>
      <c r="V66" s="197"/>
      <c r="W66" s="197"/>
    </row>
    <row r="67">
      <c r="P67" s="181"/>
      <c r="Q67" s="181"/>
      <c r="R67" s="196"/>
      <c r="S67" s="196"/>
      <c r="T67" s="196"/>
      <c r="U67" s="196"/>
      <c r="V67" s="196"/>
      <c r="W67" s="196"/>
    </row>
    <row r="68">
      <c r="P68" s="181"/>
      <c r="Q68" s="181"/>
      <c r="R68" s="197"/>
      <c r="S68" s="197"/>
      <c r="T68" s="197"/>
      <c r="U68" s="197"/>
      <c r="V68" s="197"/>
      <c r="W68" s="197"/>
    </row>
    <row r="69">
      <c r="P69" s="179"/>
      <c r="Q69" s="179"/>
      <c r="R69" s="196"/>
      <c r="S69" s="196"/>
      <c r="T69" s="196"/>
      <c r="U69" s="196"/>
      <c r="V69" s="196"/>
      <c r="W69" s="196"/>
    </row>
    <row r="70">
      <c r="P70" s="181"/>
      <c r="Q70" s="195"/>
      <c r="R70" s="196"/>
      <c r="S70" s="196"/>
      <c r="T70" s="196"/>
      <c r="U70" s="196"/>
      <c r="V70" s="196"/>
      <c r="W70" s="196"/>
    </row>
    <row r="71">
      <c r="P71" s="179"/>
      <c r="Q71" s="179"/>
      <c r="R71" s="197"/>
      <c r="S71" s="197"/>
      <c r="T71" s="197"/>
      <c r="U71" s="197"/>
      <c r="V71" s="197"/>
      <c r="W71" s="197"/>
    </row>
    <row r="72">
      <c r="P72" s="181"/>
      <c r="Q72" s="181"/>
    </row>
    <row r="73">
      <c r="P73" s="179"/>
      <c r="Q73" s="179"/>
    </row>
    <row r="74">
      <c r="L74" s="43"/>
      <c r="M74" s="43"/>
      <c r="N74" s="178"/>
      <c r="O74" s="179"/>
      <c r="P74" s="179"/>
      <c r="Q74" s="179"/>
    </row>
    <row r="75">
      <c r="L75" s="39"/>
      <c r="M75" s="39"/>
      <c r="N75" s="180"/>
      <c r="O75" s="181"/>
      <c r="P75" s="181"/>
      <c r="Q75" s="181"/>
    </row>
    <row r="76">
      <c r="P76" s="179"/>
      <c r="Q76" s="179"/>
    </row>
    <row r="77">
      <c r="P77" s="181"/>
      <c r="Q77" s="181"/>
    </row>
  </sheetData>
  <mergeCells count="2">
    <mergeCell ref="B1:C1"/>
    <mergeCell ref="B3:H3"/>
  </mergeCell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7.88"/>
    <col customWidth="1" hidden="1" min="4" max="4" width="21.13"/>
    <col customWidth="1" hidden="1" min="5" max="5" width="22.13"/>
    <col customWidth="1" hidden="1" min="6" max="6" width="12.75"/>
    <col customWidth="1" hidden="1" min="7" max="7" width="7.88"/>
    <col customWidth="1" hidden="1" min="8" max="8" width="16.13"/>
    <col customWidth="1" hidden="1" min="9" max="9" width="17.13"/>
    <col customWidth="1" min="10" max="11" width="8.88"/>
  </cols>
  <sheetData>
    <row r="1" ht="43.5" customHeight="1">
      <c r="A1" s="203" t="s">
        <v>492</v>
      </c>
      <c r="B1" s="203" t="s">
        <v>1</v>
      </c>
      <c r="C1" s="203" t="s">
        <v>2</v>
      </c>
      <c r="D1" s="204" t="s">
        <v>493</v>
      </c>
      <c r="E1" s="205" t="s">
        <v>494</v>
      </c>
      <c r="F1" s="206"/>
      <c r="G1" s="206" t="s">
        <v>495</v>
      </c>
      <c r="H1" s="205" t="s">
        <v>496</v>
      </c>
      <c r="I1" s="205" t="s">
        <v>497</v>
      </c>
      <c r="J1" s="205"/>
      <c r="K1" s="205" t="s">
        <v>498</v>
      </c>
      <c r="L1" s="207"/>
      <c r="M1" s="207"/>
      <c r="N1" s="207"/>
    </row>
    <row r="2">
      <c r="A2" s="43"/>
      <c r="B2" s="43"/>
      <c r="C2" s="178"/>
      <c r="D2" s="179"/>
      <c r="E2" s="179"/>
      <c r="F2" s="27"/>
      <c r="G2" s="27"/>
      <c r="H2" s="179"/>
      <c r="I2" s="179"/>
      <c r="J2" s="82"/>
      <c r="K2" s="208"/>
    </row>
    <row r="3">
      <c r="A3" s="43"/>
      <c r="B3" s="43"/>
      <c r="C3" s="178"/>
      <c r="D3" s="179"/>
      <c r="E3" s="179"/>
      <c r="F3" s="27"/>
      <c r="G3" s="27"/>
      <c r="H3" s="179"/>
      <c r="I3" s="179"/>
      <c r="J3" s="209"/>
      <c r="K3" s="208"/>
    </row>
    <row r="4">
      <c r="A4" s="39"/>
      <c r="B4" s="39"/>
      <c r="C4" s="180"/>
      <c r="D4" s="181"/>
      <c r="E4" s="181"/>
      <c r="F4" s="40"/>
      <c r="G4" s="40"/>
      <c r="H4" s="181"/>
      <c r="I4" s="181"/>
      <c r="J4" s="82"/>
      <c r="K4" s="208"/>
    </row>
    <row r="5">
      <c r="A5" s="43"/>
      <c r="B5" s="43"/>
      <c r="C5" s="178"/>
      <c r="D5" s="179"/>
      <c r="E5" s="179"/>
      <c r="F5" s="27"/>
      <c r="G5" s="27"/>
      <c r="H5" s="179"/>
      <c r="I5" s="179"/>
      <c r="J5" s="209"/>
      <c r="K5" s="208"/>
    </row>
    <row r="6">
      <c r="A6" s="43"/>
      <c r="B6" s="43"/>
      <c r="C6" s="178"/>
      <c r="D6" s="179"/>
      <c r="E6" s="179"/>
      <c r="F6" s="27"/>
      <c r="G6" s="27"/>
      <c r="H6" s="179"/>
      <c r="I6" s="179"/>
      <c r="J6" s="82"/>
      <c r="K6" s="208"/>
    </row>
    <row r="7">
      <c r="A7" s="39"/>
      <c r="B7" s="39"/>
      <c r="C7" s="180"/>
      <c r="D7" s="181"/>
      <c r="E7" s="181"/>
      <c r="F7" s="40"/>
      <c r="G7" s="40"/>
      <c r="H7" s="181"/>
      <c r="I7" s="181"/>
      <c r="J7" s="209"/>
      <c r="K7" s="208"/>
    </row>
    <row r="8">
      <c r="A8" s="43"/>
      <c r="B8" s="43"/>
      <c r="C8" s="178"/>
      <c r="D8" s="179"/>
      <c r="E8" s="179"/>
      <c r="F8" s="27"/>
      <c r="G8" s="27"/>
      <c r="H8" s="179"/>
      <c r="I8" s="179"/>
      <c r="J8" s="209"/>
      <c r="K8" s="208"/>
    </row>
    <row r="9">
      <c r="A9" s="43"/>
      <c r="B9" s="43"/>
      <c r="C9" s="178"/>
      <c r="D9" s="210"/>
      <c r="E9" s="179"/>
      <c r="F9" s="27"/>
      <c r="G9" s="27"/>
      <c r="H9" s="179"/>
      <c r="I9" s="179"/>
      <c r="J9" s="82"/>
      <c r="K9" s="208"/>
    </row>
    <row r="10">
      <c r="A10" s="38"/>
      <c r="B10" s="38"/>
      <c r="C10" s="180"/>
      <c r="D10" s="181"/>
      <c r="E10" s="181"/>
      <c r="F10" s="40"/>
      <c r="G10" s="40"/>
      <c r="H10" s="181"/>
      <c r="I10" s="181"/>
      <c r="J10" s="209"/>
      <c r="K10" s="208"/>
    </row>
    <row r="11">
      <c r="A11" s="43"/>
      <c r="B11" s="43"/>
      <c r="C11" s="178"/>
      <c r="D11" s="179"/>
      <c r="E11" s="179"/>
      <c r="F11" s="27"/>
      <c r="G11" s="27"/>
      <c r="H11" s="179"/>
      <c r="I11" s="179"/>
      <c r="J11" s="82"/>
      <c r="K11" s="208"/>
    </row>
    <row r="12">
      <c r="A12" s="39"/>
      <c r="B12" s="39"/>
      <c r="C12" s="180"/>
      <c r="D12" s="181"/>
      <c r="E12" s="181"/>
      <c r="F12" s="40"/>
      <c r="G12" s="40"/>
      <c r="H12" s="181"/>
      <c r="I12" s="181"/>
      <c r="J12" s="82"/>
      <c r="K12" s="208"/>
    </row>
    <row r="13">
      <c r="A13" s="43"/>
      <c r="B13" s="182"/>
      <c r="C13" s="178"/>
      <c r="D13" s="179"/>
      <c r="E13" s="179"/>
      <c r="F13" s="27"/>
      <c r="G13" s="27"/>
      <c r="H13" s="179"/>
      <c r="I13" s="179"/>
      <c r="J13" s="82"/>
      <c r="K13" s="208"/>
    </row>
    <row r="14">
      <c r="A14" s="43"/>
      <c r="B14" s="43"/>
      <c r="C14" s="178"/>
      <c r="D14" s="179"/>
      <c r="E14" s="179"/>
      <c r="F14" s="27"/>
      <c r="G14" s="27"/>
      <c r="H14" s="179"/>
      <c r="I14" s="179"/>
      <c r="J14" s="82"/>
      <c r="K14" s="208"/>
    </row>
    <row r="15">
      <c r="A15" s="39"/>
      <c r="B15" s="39"/>
      <c r="C15" s="180"/>
      <c r="D15" s="181"/>
      <c r="E15" s="181"/>
      <c r="F15" s="40"/>
      <c r="G15" s="40"/>
      <c r="H15" s="181"/>
      <c r="I15" s="181"/>
      <c r="J15" s="209"/>
      <c r="K15" s="208"/>
    </row>
    <row r="16">
      <c r="A16" s="43"/>
      <c r="B16" s="43"/>
      <c r="C16" s="178"/>
      <c r="D16" s="179"/>
      <c r="E16" s="179"/>
      <c r="F16" s="27"/>
      <c r="G16" s="27"/>
      <c r="H16" s="179"/>
      <c r="I16" s="179"/>
      <c r="J16" s="82"/>
      <c r="K16" s="208"/>
    </row>
    <row r="17">
      <c r="A17" s="38"/>
      <c r="B17" s="39"/>
      <c r="C17" s="194"/>
      <c r="D17" s="181"/>
      <c r="E17" s="181"/>
      <c r="F17" s="40"/>
      <c r="G17" s="40"/>
      <c r="H17" s="181"/>
      <c r="I17" s="181"/>
      <c r="J17" s="211"/>
      <c r="K17" s="208"/>
    </row>
    <row r="18">
      <c r="A18" s="39"/>
      <c r="B18" s="39"/>
      <c r="C18" s="180"/>
      <c r="D18" s="181"/>
      <c r="E18" s="181"/>
      <c r="F18" s="40"/>
      <c r="G18" s="40"/>
      <c r="H18" s="181"/>
      <c r="I18" s="181"/>
      <c r="J18" s="82"/>
      <c r="K18" s="40"/>
    </row>
    <row r="19">
      <c r="A19" s="39"/>
      <c r="B19" s="39"/>
      <c r="C19" s="180"/>
      <c r="D19" s="181"/>
      <c r="E19" s="181"/>
      <c r="F19" s="40"/>
      <c r="G19" s="40"/>
      <c r="H19" s="181"/>
      <c r="I19" s="181"/>
      <c r="J19" s="82"/>
      <c r="K19" s="208"/>
    </row>
    <row r="20">
      <c r="A20" s="43"/>
      <c r="B20" s="43"/>
      <c r="C20" s="178"/>
      <c r="D20" s="179"/>
      <c r="E20" s="179"/>
      <c r="F20" s="27"/>
      <c r="G20" s="27"/>
      <c r="H20" s="179"/>
      <c r="I20" s="179"/>
      <c r="J20" s="82"/>
      <c r="K20" s="208"/>
    </row>
    <row r="21">
      <c r="A21" s="43"/>
      <c r="B21" s="43"/>
      <c r="C21" s="178"/>
      <c r="D21" s="179"/>
      <c r="E21" s="179"/>
      <c r="F21" s="27"/>
      <c r="G21" s="27"/>
      <c r="H21" s="179"/>
      <c r="I21" s="179"/>
      <c r="J21" s="82"/>
      <c r="K21" s="208"/>
    </row>
    <row r="22">
      <c r="A22" s="39"/>
      <c r="B22" s="39"/>
      <c r="C22" s="180"/>
      <c r="D22" s="181"/>
      <c r="E22" s="181"/>
      <c r="F22" s="40"/>
      <c r="G22" s="40"/>
      <c r="H22" s="181"/>
      <c r="I22" s="181"/>
      <c r="J22" s="82"/>
      <c r="K22" s="208"/>
    </row>
    <row r="23">
      <c r="A23" s="43"/>
      <c r="B23" s="43"/>
      <c r="C23" s="178"/>
      <c r="D23" s="179"/>
      <c r="E23" s="179"/>
      <c r="F23" s="27"/>
      <c r="G23" s="27"/>
      <c r="H23" s="179"/>
      <c r="I23" s="179"/>
      <c r="J23" s="82"/>
      <c r="K23" s="208"/>
    </row>
    <row r="24">
      <c r="A24" s="39"/>
      <c r="B24" s="39"/>
      <c r="C24" s="180"/>
      <c r="D24" s="181"/>
      <c r="E24" s="181"/>
      <c r="F24" s="40"/>
      <c r="G24" s="40"/>
      <c r="H24" s="181"/>
      <c r="I24" s="181"/>
      <c r="J24" s="82"/>
      <c r="K24" s="208"/>
    </row>
    <row r="25">
      <c r="A25" s="39"/>
      <c r="B25" s="39"/>
      <c r="C25" s="180"/>
      <c r="D25" s="181"/>
      <c r="E25" s="181"/>
      <c r="F25" s="40"/>
      <c r="G25" s="40"/>
      <c r="H25" s="181"/>
      <c r="I25" s="181"/>
      <c r="J25" s="209"/>
      <c r="K25" s="208"/>
    </row>
    <row r="26">
      <c r="A26" s="39"/>
      <c r="B26" s="39"/>
      <c r="C26" s="201"/>
      <c r="D26" s="181"/>
      <c r="E26" s="181"/>
      <c r="F26" s="40"/>
      <c r="G26" s="40"/>
      <c r="H26" s="181"/>
      <c r="I26" s="181"/>
      <c r="J26" s="82"/>
      <c r="K26" s="208"/>
    </row>
    <row r="27">
      <c r="A27" s="43"/>
      <c r="B27" s="43"/>
      <c r="C27" s="178"/>
      <c r="D27" s="179"/>
      <c r="E27" s="179"/>
      <c r="F27" s="27"/>
      <c r="G27" s="27"/>
      <c r="H27" s="179"/>
      <c r="I27" s="179"/>
      <c r="J27" s="82"/>
      <c r="K27" s="208"/>
    </row>
    <row r="28">
      <c r="A28" s="43"/>
      <c r="B28" s="43"/>
      <c r="C28" s="178"/>
      <c r="D28" s="179"/>
      <c r="E28" s="179"/>
      <c r="F28" s="27"/>
      <c r="G28" s="27"/>
      <c r="H28" s="179"/>
      <c r="I28" s="179"/>
      <c r="J28" s="82"/>
      <c r="K28" s="27"/>
    </row>
    <row r="29">
      <c r="A29" s="39"/>
      <c r="B29" s="39"/>
      <c r="C29" s="180"/>
      <c r="D29" s="181"/>
      <c r="E29" s="181"/>
      <c r="F29" s="40"/>
      <c r="G29" s="40"/>
      <c r="H29" s="181"/>
      <c r="I29" s="181"/>
      <c r="J29" s="82"/>
      <c r="K29" s="40"/>
    </row>
    <row r="30">
      <c r="A30" s="212"/>
      <c r="B30" s="212"/>
      <c r="C30" s="213"/>
      <c r="D30" s="214"/>
      <c r="E30" s="214"/>
      <c r="F30" s="215"/>
      <c r="G30" s="215"/>
      <c r="H30" s="214"/>
      <c r="I30" s="214"/>
      <c r="J30" s="216"/>
      <c r="K30" s="217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</row>
    <row r="31">
      <c r="A31" s="39"/>
      <c r="B31" s="39"/>
      <c r="C31" s="180"/>
      <c r="D31" s="181"/>
      <c r="E31" s="181"/>
      <c r="F31" s="40"/>
      <c r="G31" s="40"/>
      <c r="H31" s="181"/>
      <c r="I31" s="181"/>
      <c r="J31" s="82"/>
      <c r="K31" s="208"/>
    </row>
    <row r="32">
      <c r="A32" s="43"/>
      <c r="B32" s="43"/>
      <c r="C32" s="178"/>
      <c r="D32" s="179"/>
      <c r="E32" s="179"/>
      <c r="F32" s="27"/>
      <c r="G32" s="27"/>
      <c r="H32" s="179"/>
      <c r="I32" s="179"/>
      <c r="J32" s="82"/>
      <c r="K32" s="208"/>
    </row>
    <row r="33">
      <c r="A33" s="39"/>
      <c r="B33" s="39"/>
      <c r="C33" s="180"/>
      <c r="D33" s="181"/>
      <c r="E33" s="181"/>
      <c r="F33" s="40"/>
      <c r="G33" s="40"/>
      <c r="H33" s="181"/>
      <c r="I33" s="181"/>
      <c r="J33" s="82"/>
      <c r="K33" s="208"/>
    </row>
    <row r="34">
      <c r="A34" s="39"/>
      <c r="B34" s="39"/>
      <c r="C34" s="180"/>
      <c r="D34" s="181"/>
      <c r="E34" s="181"/>
      <c r="F34" s="40"/>
      <c r="G34" s="40"/>
      <c r="H34" s="181"/>
      <c r="I34" s="181"/>
      <c r="J34" s="82"/>
      <c r="K34" s="208"/>
    </row>
    <row r="35">
      <c r="A35" s="182"/>
      <c r="B35" s="182"/>
      <c r="C35" s="178"/>
      <c r="D35" s="179"/>
      <c r="E35" s="179"/>
      <c r="F35" s="27"/>
      <c r="G35" s="27"/>
      <c r="H35" s="179"/>
      <c r="I35" s="179"/>
      <c r="J35" s="209"/>
      <c r="K35" s="208"/>
    </row>
    <row r="36">
      <c r="A36" s="43"/>
      <c r="B36" s="43"/>
      <c r="C36" s="178"/>
      <c r="D36" s="179"/>
      <c r="E36" s="179"/>
      <c r="F36" s="27"/>
      <c r="G36" s="27"/>
      <c r="H36" s="179"/>
      <c r="I36" s="179"/>
      <c r="J36" s="82"/>
      <c r="K36" s="208"/>
    </row>
    <row r="37">
      <c r="A37" s="38"/>
      <c r="B37" s="38"/>
      <c r="C37" s="194"/>
      <c r="D37" s="181"/>
      <c r="E37" s="196"/>
      <c r="F37" s="40"/>
      <c r="G37" s="40"/>
      <c r="H37" s="181"/>
      <c r="I37" s="181"/>
      <c r="J37" s="82"/>
      <c r="K37" s="208"/>
    </row>
    <row r="38">
      <c r="A38" s="39"/>
      <c r="B38" s="39"/>
      <c r="C38" s="180"/>
      <c r="D38" s="181"/>
      <c r="E38" s="181"/>
      <c r="F38" s="40"/>
      <c r="G38" s="40"/>
      <c r="H38" s="181"/>
      <c r="I38" s="181"/>
      <c r="J38" s="211"/>
      <c r="K38" s="208"/>
    </row>
    <row r="39">
      <c r="A39" s="39"/>
      <c r="B39" s="39"/>
      <c r="C39" s="180"/>
      <c r="D39" s="181"/>
      <c r="E39" s="181"/>
      <c r="F39" s="42"/>
      <c r="G39" s="42"/>
      <c r="H39" s="181"/>
      <c r="I39" s="181"/>
      <c r="J39" s="82"/>
      <c r="K39" s="208"/>
    </row>
    <row r="40">
      <c r="A40" s="43"/>
      <c r="B40" s="43"/>
      <c r="C40" s="178"/>
      <c r="D40" s="179"/>
      <c r="E40" s="179"/>
      <c r="F40" s="27"/>
      <c r="G40" s="27"/>
      <c r="H40" s="179"/>
      <c r="I40" s="179"/>
      <c r="J40" s="209"/>
      <c r="K40" s="27"/>
    </row>
    <row r="41">
      <c r="A41" s="39"/>
      <c r="B41" s="39"/>
      <c r="C41" s="180"/>
      <c r="D41" s="181"/>
      <c r="E41" s="181"/>
      <c r="F41" s="40"/>
      <c r="G41" s="40"/>
      <c r="H41" s="181"/>
      <c r="I41" s="181"/>
      <c r="J41" s="82"/>
      <c r="K41" s="208"/>
    </row>
    <row r="42">
      <c r="A42" s="39"/>
      <c r="B42" s="39"/>
      <c r="C42" s="180"/>
      <c r="D42" s="181"/>
      <c r="E42" s="181"/>
      <c r="F42" s="40"/>
      <c r="G42" s="40"/>
      <c r="H42" s="181"/>
      <c r="I42" s="181"/>
      <c r="J42" s="82"/>
      <c r="K42" s="208"/>
    </row>
    <row r="43">
      <c r="A43" s="39"/>
      <c r="B43" s="39"/>
      <c r="C43" s="180"/>
      <c r="D43" s="181"/>
      <c r="E43" s="181"/>
      <c r="F43" s="40"/>
      <c r="G43" s="40"/>
      <c r="H43" s="181"/>
      <c r="I43" s="181"/>
      <c r="J43" s="82"/>
      <c r="K43" s="208"/>
    </row>
    <row r="44">
      <c r="A44" s="43"/>
      <c r="B44" s="43"/>
      <c r="C44" s="178"/>
      <c r="D44" s="179"/>
      <c r="E44" s="179"/>
      <c r="F44" s="27"/>
      <c r="G44" s="27"/>
      <c r="H44" s="179"/>
      <c r="I44" s="179"/>
      <c r="J44" s="209"/>
      <c r="K44" s="208"/>
    </row>
    <row r="45">
      <c r="A45" s="39"/>
      <c r="B45" s="39"/>
      <c r="C45" s="180"/>
      <c r="D45" s="181"/>
      <c r="E45" s="181"/>
      <c r="F45" s="40"/>
      <c r="G45" s="40"/>
      <c r="H45" s="181"/>
      <c r="I45" s="181"/>
      <c r="J45" s="209"/>
      <c r="K45" s="208"/>
    </row>
    <row r="46">
      <c r="A46" s="43"/>
      <c r="B46" s="43"/>
      <c r="C46" s="178"/>
      <c r="D46" s="179"/>
      <c r="E46" s="179"/>
      <c r="F46" s="27"/>
      <c r="G46" s="27"/>
      <c r="H46" s="179"/>
      <c r="I46" s="179"/>
      <c r="J46" s="82"/>
      <c r="K46" s="208"/>
    </row>
    <row r="47">
      <c r="A47" s="198"/>
      <c r="B47" s="198"/>
      <c r="C47" s="199"/>
      <c r="D47" s="219"/>
      <c r="E47" s="200"/>
      <c r="F47" s="220"/>
      <c r="G47" s="220"/>
      <c r="H47" s="219"/>
      <c r="I47" s="219"/>
      <c r="J47" s="82"/>
      <c r="K47" s="208"/>
    </row>
    <row r="48">
      <c r="A48" s="43"/>
      <c r="B48" s="43"/>
      <c r="C48" s="180"/>
      <c r="D48" s="181"/>
      <c r="E48" s="181"/>
      <c r="F48" s="40"/>
      <c r="G48" s="40"/>
      <c r="H48" s="181"/>
      <c r="I48" s="181"/>
      <c r="J48" s="82"/>
      <c r="K48" s="208"/>
    </row>
    <row r="49">
      <c r="A49" s="39"/>
      <c r="B49" s="39"/>
      <c r="C49" s="180"/>
      <c r="D49" s="181"/>
      <c r="E49" s="181"/>
      <c r="F49" s="40"/>
      <c r="G49" s="40"/>
      <c r="H49" s="221"/>
      <c r="I49" s="181"/>
      <c r="J49" s="209"/>
      <c r="K49" s="208"/>
    </row>
    <row r="50">
      <c r="A50" s="182"/>
      <c r="B50" s="182"/>
      <c r="C50" s="202"/>
      <c r="D50" s="179"/>
      <c r="E50" s="179"/>
      <c r="F50" s="222"/>
      <c r="G50" s="222"/>
      <c r="H50" s="179"/>
      <c r="I50" s="179"/>
      <c r="J50" s="82"/>
      <c r="K50" s="208"/>
    </row>
    <row r="51">
      <c r="A51" s="39"/>
      <c r="B51" s="39"/>
      <c r="C51" s="180"/>
      <c r="D51" s="181"/>
      <c r="E51" s="181"/>
      <c r="F51" s="40"/>
      <c r="G51" s="40"/>
      <c r="H51" s="181"/>
      <c r="I51" s="181"/>
      <c r="J51" s="82"/>
      <c r="K51" s="208"/>
    </row>
    <row r="52">
      <c r="A52" s="43"/>
      <c r="B52" s="43"/>
      <c r="C52" s="178"/>
      <c r="D52" s="179"/>
      <c r="E52" s="179"/>
      <c r="F52" s="27"/>
      <c r="G52" s="27"/>
      <c r="H52" s="179"/>
      <c r="I52" s="179"/>
      <c r="J52" s="82"/>
      <c r="K52" s="208"/>
    </row>
    <row r="53">
      <c r="A53" s="43"/>
      <c r="B53" s="43"/>
      <c r="C53" s="178"/>
      <c r="D53" s="179"/>
      <c r="E53" s="179"/>
      <c r="F53" s="27"/>
      <c r="G53" s="27"/>
      <c r="H53" s="179"/>
      <c r="I53" s="179"/>
      <c r="J53" s="82"/>
      <c r="K53" s="208"/>
    </row>
    <row r="54">
      <c r="A54" s="39"/>
      <c r="B54" s="38"/>
      <c r="C54" s="180"/>
      <c r="D54" s="181"/>
      <c r="E54" s="181"/>
      <c r="F54" s="40"/>
      <c r="G54" s="40"/>
      <c r="H54" s="181"/>
      <c r="I54" s="181"/>
      <c r="J54" s="82"/>
      <c r="K54" s="208"/>
    </row>
    <row r="55">
      <c r="A55" s="43"/>
      <c r="B55" s="43"/>
      <c r="C55" s="178"/>
      <c r="D55" s="179"/>
      <c r="E55" s="179"/>
      <c r="F55" s="27"/>
      <c r="G55" s="27"/>
      <c r="H55" s="179"/>
      <c r="I55" s="179"/>
      <c r="J55" s="82"/>
      <c r="K55" s="208"/>
    </row>
    <row r="56">
      <c r="A56" s="39"/>
      <c r="B56" s="39"/>
      <c r="C56" s="180"/>
      <c r="D56" s="181"/>
      <c r="E56" s="181"/>
      <c r="F56" s="40"/>
      <c r="G56" s="40"/>
      <c r="H56" s="181"/>
      <c r="I56" s="181"/>
      <c r="J56" s="223"/>
      <c r="K56" s="208"/>
    </row>
    <row r="57">
      <c r="A57" s="43"/>
      <c r="B57" s="43"/>
      <c r="C57" s="178"/>
      <c r="D57" s="179"/>
      <c r="E57" s="179"/>
      <c r="F57" s="27"/>
      <c r="G57" s="27"/>
      <c r="H57" s="179"/>
      <c r="I57" s="179"/>
      <c r="J57" s="209"/>
      <c r="K57" s="208"/>
    </row>
    <row r="58">
      <c r="A58" s="43"/>
      <c r="B58" s="43"/>
      <c r="C58" s="178"/>
      <c r="D58" s="179"/>
      <c r="E58" s="179"/>
      <c r="F58" s="27"/>
      <c r="G58" s="27"/>
      <c r="H58" s="179"/>
      <c r="I58" s="179"/>
      <c r="J58" s="82"/>
      <c r="K58" s="208"/>
    </row>
    <row r="59">
      <c r="A59" s="39"/>
      <c r="B59" s="39"/>
      <c r="C59" s="180"/>
      <c r="D59" s="181"/>
      <c r="E59" s="181"/>
      <c r="F59" s="40"/>
      <c r="G59" s="40"/>
      <c r="H59" s="181"/>
      <c r="I59" s="181"/>
      <c r="J59" s="82"/>
      <c r="K59" s="208"/>
    </row>
    <row r="60">
      <c r="A60" s="43"/>
      <c r="B60" s="43"/>
      <c r="C60" s="178"/>
      <c r="D60" s="179"/>
      <c r="E60" s="179"/>
      <c r="F60" s="27"/>
      <c r="G60" s="27"/>
      <c r="H60" s="179"/>
      <c r="I60" s="179"/>
      <c r="J60" s="209"/>
      <c r="K60" s="40"/>
    </row>
    <row r="61">
      <c r="A61" s="43"/>
      <c r="B61" s="43"/>
      <c r="C61" s="178"/>
      <c r="D61" s="179"/>
      <c r="E61" s="179"/>
      <c r="F61" s="27"/>
      <c r="G61" s="27"/>
      <c r="H61" s="179"/>
      <c r="I61" s="179"/>
      <c r="J61" s="224"/>
      <c r="K61" s="44"/>
    </row>
    <row r="62">
      <c r="A62" s="41"/>
      <c r="B62" s="41"/>
      <c r="C62" s="189"/>
      <c r="D62" s="196"/>
      <c r="E62" s="225"/>
      <c r="F62" s="181"/>
      <c r="G62" s="181">
        <f>countif(G2:G61, "y")</f>
        <v>0</v>
      </c>
      <c r="H62" s="196"/>
      <c r="I62" s="196"/>
      <c r="J62" s="196"/>
      <c r="K62" s="196"/>
    </row>
    <row r="63">
      <c r="F63" s="181"/>
      <c r="G63" s="181"/>
    </row>
  </sheetData>
  <printOptions gridLines="1" horizontalCentered="1"/>
  <pageMargins bottom="0.75" footer="0.0" header="0.0" left="0.25" right="0.25" top="0.75"/>
  <pageSetup fitToHeight="0" cellComments="atEnd" orientation="portrait" pageOrder="overThenDown"/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0"/>
    <col customWidth="1" min="3" max="3" width="5.38"/>
    <col customWidth="1" min="4" max="4" width="18.13"/>
    <col customWidth="1" min="5" max="14" width="6.25"/>
    <col customWidth="1" min="15" max="15" width="5.5"/>
    <col customWidth="1" min="16" max="16" width="5.88"/>
    <col customWidth="1" min="17" max="17" width="6.25"/>
    <col customWidth="1" min="18" max="18" width="5.5"/>
  </cols>
  <sheetData>
    <row r="1">
      <c r="A1" s="1" t="s">
        <v>0</v>
      </c>
      <c r="B1" s="2" t="s">
        <v>1</v>
      </c>
      <c r="C1" s="226" t="s">
        <v>2</v>
      </c>
      <c r="D1" s="145" t="s">
        <v>403</v>
      </c>
      <c r="E1" s="227">
        <v>46114.0</v>
      </c>
      <c r="F1" s="227">
        <v>46119.0</v>
      </c>
      <c r="G1" s="227">
        <v>46126.0</v>
      </c>
      <c r="H1" s="227">
        <v>46128.0</v>
      </c>
      <c r="I1" s="227">
        <v>46133.0</v>
      </c>
      <c r="J1" s="227">
        <v>46135.0</v>
      </c>
      <c r="K1" s="227">
        <v>46140.0</v>
      </c>
      <c r="L1" s="227">
        <v>46142.0</v>
      </c>
      <c r="M1" s="227">
        <v>46147.0</v>
      </c>
      <c r="N1" s="227">
        <v>46149.0</v>
      </c>
      <c r="O1" s="227">
        <v>46154.0</v>
      </c>
      <c r="P1" s="227">
        <v>46156.0</v>
      </c>
      <c r="Q1" s="227">
        <v>46161.0</v>
      </c>
      <c r="R1" s="227">
        <v>46163.0</v>
      </c>
    </row>
    <row r="2">
      <c r="A2" s="228" t="s">
        <v>37</v>
      </c>
      <c r="B2" s="228" t="s">
        <v>8</v>
      </c>
      <c r="C2" s="229">
        <v>5.0</v>
      </c>
      <c r="D2" s="230"/>
      <c r="E2" s="231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</row>
    <row r="3">
      <c r="A3" s="233" t="s">
        <v>62</v>
      </c>
      <c r="B3" s="233" t="s">
        <v>63</v>
      </c>
      <c r="C3" s="234">
        <v>5.0</v>
      </c>
      <c r="D3" s="234"/>
      <c r="E3" s="235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</row>
    <row r="4">
      <c r="A4" s="233" t="s">
        <v>79</v>
      </c>
      <c r="B4" s="233" t="s">
        <v>80</v>
      </c>
      <c r="C4" s="234">
        <v>5.0</v>
      </c>
      <c r="D4" s="234"/>
      <c r="E4" s="235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</row>
    <row r="5">
      <c r="A5" s="236" t="s">
        <v>96</v>
      </c>
      <c r="B5" s="236" t="s">
        <v>97</v>
      </c>
      <c r="C5" s="237">
        <v>5.0</v>
      </c>
      <c r="D5" s="237"/>
      <c r="E5" s="238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</row>
    <row r="6">
      <c r="A6" s="233" t="s">
        <v>133</v>
      </c>
      <c r="B6" s="233" t="s">
        <v>134</v>
      </c>
      <c r="C6" s="234">
        <v>5.0</v>
      </c>
      <c r="D6" s="234"/>
      <c r="E6" s="235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</row>
    <row r="7">
      <c r="A7" s="233" t="s">
        <v>144</v>
      </c>
      <c r="B7" s="233" t="s">
        <v>145</v>
      </c>
      <c r="C7" s="234">
        <v>5.0</v>
      </c>
      <c r="D7" s="234"/>
      <c r="E7" s="235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</row>
    <row r="8">
      <c r="A8" s="233" t="s">
        <v>156</v>
      </c>
      <c r="B8" s="233" t="s">
        <v>157</v>
      </c>
      <c r="C8" s="234">
        <v>5.0</v>
      </c>
      <c r="D8" s="234"/>
      <c r="E8" s="235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</row>
    <row r="9">
      <c r="A9" s="233" t="s">
        <v>165</v>
      </c>
      <c r="B9" s="233" t="s">
        <v>166</v>
      </c>
      <c r="C9" s="234">
        <v>5.0</v>
      </c>
      <c r="D9" s="234"/>
      <c r="E9" s="235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</row>
    <row r="10">
      <c r="A10" s="236" t="s">
        <v>171</v>
      </c>
      <c r="B10" s="236" t="s">
        <v>172</v>
      </c>
      <c r="C10" s="237">
        <v>5.0</v>
      </c>
      <c r="D10" s="237"/>
      <c r="E10" s="238"/>
      <c r="F10" s="232"/>
      <c r="G10" s="232"/>
      <c r="H10" s="232"/>
      <c r="I10" s="232"/>
      <c r="J10" s="232"/>
      <c r="K10" s="232"/>
      <c r="L10" s="232"/>
      <c r="M10" s="232"/>
      <c r="N10" s="232"/>
      <c r="O10" s="232"/>
      <c r="P10" s="232"/>
      <c r="Q10" s="232"/>
      <c r="R10" s="232"/>
    </row>
    <row r="11">
      <c r="A11" s="236" t="s">
        <v>205</v>
      </c>
      <c r="B11" s="236" t="s">
        <v>206</v>
      </c>
      <c r="C11" s="237">
        <v>5.0</v>
      </c>
      <c r="D11" s="237"/>
      <c r="E11" s="238"/>
      <c r="F11" s="232"/>
      <c r="G11" s="232"/>
      <c r="H11" s="232"/>
      <c r="I11" s="232"/>
      <c r="J11" s="232"/>
      <c r="K11" s="232"/>
      <c r="L11" s="232"/>
      <c r="M11" s="232"/>
      <c r="N11" s="232"/>
      <c r="O11" s="232"/>
      <c r="P11" s="232"/>
      <c r="Q11" s="232"/>
      <c r="R11" s="232"/>
    </row>
    <row r="12">
      <c r="A12" s="23" t="s">
        <v>210</v>
      </c>
      <c r="B12" s="23" t="s">
        <v>14</v>
      </c>
      <c r="C12" s="239">
        <v>5.0</v>
      </c>
      <c r="D12" s="240"/>
      <c r="E12" s="241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</row>
    <row r="13">
      <c r="A13" s="23" t="s">
        <v>224</v>
      </c>
      <c r="B13" s="23" t="s">
        <v>225</v>
      </c>
      <c r="C13" s="239">
        <v>5.0</v>
      </c>
      <c r="D13" s="240"/>
      <c r="E13" s="241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</row>
    <row r="14">
      <c r="A14" s="236" t="s">
        <v>253</v>
      </c>
      <c r="B14" s="236" t="s">
        <v>189</v>
      </c>
      <c r="C14" s="237">
        <v>5.0</v>
      </c>
      <c r="D14" s="237"/>
      <c r="E14" s="238"/>
      <c r="F14" s="232"/>
      <c r="G14" s="232"/>
      <c r="H14" s="232"/>
      <c r="I14" s="232"/>
      <c r="J14" s="232"/>
      <c r="K14" s="232"/>
      <c r="L14" s="232"/>
      <c r="M14" s="232"/>
      <c r="N14" s="232"/>
      <c r="O14" s="232"/>
      <c r="P14" s="232"/>
      <c r="Q14" s="232"/>
      <c r="R14" s="232"/>
    </row>
    <row r="15">
      <c r="A15" s="233" t="s">
        <v>255</v>
      </c>
      <c r="B15" s="233" t="s">
        <v>178</v>
      </c>
      <c r="C15" s="234">
        <v>5.0</v>
      </c>
      <c r="D15" s="234"/>
      <c r="E15" s="235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</row>
    <row r="16">
      <c r="A16" s="236" t="s">
        <v>257</v>
      </c>
      <c r="B16" s="236" t="s">
        <v>258</v>
      </c>
      <c r="C16" s="237">
        <v>5.0</v>
      </c>
      <c r="D16" s="237"/>
      <c r="E16" s="238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</row>
    <row r="17">
      <c r="A17" s="233" t="s">
        <v>262</v>
      </c>
      <c r="B17" s="233" t="s">
        <v>258</v>
      </c>
      <c r="C17" s="234">
        <v>5.0</v>
      </c>
      <c r="D17" s="234"/>
      <c r="E17" s="235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</row>
    <row r="18">
      <c r="A18" s="233" t="s">
        <v>269</v>
      </c>
      <c r="B18" s="233" t="s">
        <v>270</v>
      </c>
      <c r="C18" s="234">
        <v>5.0</v>
      </c>
      <c r="D18" s="234"/>
      <c r="E18" s="235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</row>
    <row r="19">
      <c r="A19" s="10" t="s">
        <v>19</v>
      </c>
      <c r="B19" s="10" t="s">
        <v>20</v>
      </c>
      <c r="C19" s="11">
        <v>6.0</v>
      </c>
      <c r="D19" s="11"/>
      <c r="E19" s="11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</row>
    <row r="20">
      <c r="A20" s="16" t="s">
        <v>31</v>
      </c>
      <c r="B20" s="16" t="s">
        <v>32</v>
      </c>
      <c r="C20" s="17">
        <v>6.0</v>
      </c>
      <c r="D20" s="242"/>
      <c r="E20" s="24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</row>
    <row r="21">
      <c r="A21" s="236" t="s">
        <v>116</v>
      </c>
      <c r="B21" s="236" t="s">
        <v>117</v>
      </c>
      <c r="C21" s="237">
        <v>6.0</v>
      </c>
      <c r="D21" s="237"/>
      <c r="E21" s="238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</row>
    <row r="22">
      <c r="A22" s="233" t="s">
        <v>122</v>
      </c>
      <c r="B22" s="233" t="s">
        <v>123</v>
      </c>
      <c r="C22" s="234">
        <v>6.0</v>
      </c>
      <c r="D22" s="234"/>
      <c r="E22" s="235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</row>
    <row r="23">
      <c r="A23" s="236" t="s">
        <v>127</v>
      </c>
      <c r="B23" s="236" t="s">
        <v>128</v>
      </c>
      <c r="C23" s="237">
        <v>6.0</v>
      </c>
      <c r="D23" s="237"/>
      <c r="E23" s="238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2"/>
      <c r="R23" s="232"/>
    </row>
    <row r="24">
      <c r="A24" s="236" t="s">
        <v>138</v>
      </c>
      <c r="B24" s="236" t="s">
        <v>139</v>
      </c>
      <c r="C24" s="237">
        <v>6.0</v>
      </c>
      <c r="D24" s="237"/>
      <c r="E24" s="238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</row>
    <row r="25">
      <c r="A25" s="233" t="s">
        <v>215</v>
      </c>
      <c r="B25" s="233" t="s">
        <v>216</v>
      </c>
      <c r="C25" s="234">
        <v>6.0</v>
      </c>
      <c r="D25" s="234"/>
      <c r="E25" s="235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</row>
    <row r="26">
      <c r="A26" s="228" t="s">
        <v>229</v>
      </c>
      <c r="B26" s="243" t="s">
        <v>230</v>
      </c>
      <c r="C26" s="229">
        <v>6.0</v>
      </c>
      <c r="D26" s="230"/>
      <c r="E26" s="231"/>
      <c r="F26" s="232"/>
      <c r="G26" s="232"/>
      <c r="H26" s="232"/>
      <c r="I26" s="232"/>
      <c r="J26" s="232"/>
      <c r="K26" s="232"/>
      <c r="L26" s="232"/>
      <c r="M26" s="232"/>
      <c r="N26" s="232"/>
      <c r="O26" s="232"/>
      <c r="P26" s="232"/>
      <c r="Q26" s="232"/>
      <c r="R26" s="232"/>
    </row>
    <row r="27">
      <c r="A27" s="244" t="s">
        <v>241</v>
      </c>
      <c r="B27" s="244" t="s">
        <v>242</v>
      </c>
      <c r="C27" s="245">
        <v>6.0</v>
      </c>
      <c r="D27" s="237"/>
      <c r="E27" s="238"/>
      <c r="F27" s="232"/>
      <c r="G27" s="232"/>
      <c r="H27" s="232"/>
      <c r="I27" s="232"/>
      <c r="J27" s="232"/>
      <c r="K27" s="232"/>
      <c r="L27" s="232"/>
      <c r="M27" s="232"/>
      <c r="N27" s="232"/>
      <c r="O27" s="232"/>
      <c r="P27" s="232"/>
      <c r="Q27" s="232"/>
      <c r="R27" s="232"/>
    </row>
    <row r="28">
      <c r="A28" s="236" t="s">
        <v>25</v>
      </c>
      <c r="B28" s="236" t="s">
        <v>26</v>
      </c>
      <c r="C28" s="237">
        <v>7.0</v>
      </c>
      <c r="D28" s="237"/>
      <c r="E28" s="238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</row>
    <row r="29">
      <c r="A29" s="10" t="s">
        <v>38</v>
      </c>
      <c r="B29" s="10" t="s">
        <v>39</v>
      </c>
      <c r="C29" s="11">
        <v>7.0</v>
      </c>
      <c r="D29" s="11"/>
      <c r="E29" s="11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</row>
    <row r="30">
      <c r="A30" s="236" t="s">
        <v>44</v>
      </c>
      <c r="B30" s="246" t="s">
        <v>45</v>
      </c>
      <c r="C30" s="237">
        <v>7.0</v>
      </c>
      <c r="D30" s="237"/>
      <c r="E30" s="238"/>
      <c r="F30" s="232"/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232"/>
    </row>
    <row r="31">
      <c r="A31" s="6" t="s">
        <v>50</v>
      </c>
      <c r="B31" s="6" t="s">
        <v>51</v>
      </c>
      <c r="C31" s="7">
        <v>7.0</v>
      </c>
      <c r="D31" s="7"/>
      <c r="E31" s="7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</row>
    <row r="32">
      <c r="A32" s="236" t="s">
        <v>56</v>
      </c>
      <c r="B32" s="236" t="s">
        <v>57</v>
      </c>
      <c r="C32" s="237">
        <v>7.0</v>
      </c>
      <c r="D32" s="237"/>
      <c r="E32" s="238"/>
      <c r="F32" s="232"/>
      <c r="G32" s="232"/>
      <c r="H32" s="232"/>
      <c r="I32" s="232"/>
      <c r="J32" s="232"/>
      <c r="K32" s="232"/>
      <c r="L32" s="232"/>
      <c r="M32" s="232"/>
      <c r="N32" s="232"/>
      <c r="O32" s="232"/>
      <c r="P32" s="232"/>
      <c r="Q32" s="232"/>
      <c r="R32" s="232"/>
    </row>
    <row r="33">
      <c r="A33" s="247" t="s">
        <v>68</v>
      </c>
      <c r="B33" s="247" t="s">
        <v>69</v>
      </c>
      <c r="C33" s="248">
        <v>7.0</v>
      </c>
      <c r="D33" s="234"/>
      <c r="E33" s="235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</row>
    <row r="34">
      <c r="A34" s="233" t="s">
        <v>91</v>
      </c>
      <c r="B34" s="233" t="s">
        <v>92</v>
      </c>
      <c r="C34" s="234">
        <v>7.0</v>
      </c>
      <c r="D34" s="234"/>
      <c r="E34" s="235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</row>
    <row r="35">
      <c r="A35" s="249" t="s">
        <v>102</v>
      </c>
      <c r="B35" s="249" t="s">
        <v>103</v>
      </c>
      <c r="C35" s="250">
        <v>7.0</v>
      </c>
      <c r="D35" s="250"/>
      <c r="E35" s="251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</row>
    <row r="36">
      <c r="A36" s="236" t="s">
        <v>150</v>
      </c>
      <c r="B36" s="236" t="s">
        <v>151</v>
      </c>
      <c r="C36" s="237">
        <v>7.0</v>
      </c>
      <c r="D36" s="237"/>
      <c r="E36" s="238"/>
      <c r="F36" s="232"/>
      <c r="G36" s="232"/>
      <c r="H36" s="232"/>
      <c r="I36" s="232"/>
      <c r="J36" s="232"/>
      <c r="K36" s="232"/>
      <c r="L36" s="232"/>
      <c r="M36" s="232"/>
      <c r="N36" s="232"/>
      <c r="O36" s="232"/>
      <c r="P36" s="232"/>
      <c r="Q36" s="232"/>
      <c r="R36" s="232"/>
    </row>
    <row r="37">
      <c r="A37" s="233" t="s">
        <v>163</v>
      </c>
      <c r="B37" s="233" t="s">
        <v>92</v>
      </c>
      <c r="C37" s="234">
        <v>7.0</v>
      </c>
      <c r="D37" s="234"/>
      <c r="E37" s="235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</row>
    <row r="38">
      <c r="A38" s="236" t="s">
        <v>182</v>
      </c>
      <c r="B38" s="236" t="s">
        <v>183</v>
      </c>
      <c r="C38" s="237">
        <v>7.0</v>
      </c>
      <c r="D38" s="237"/>
      <c r="E38" s="238"/>
      <c r="F38" s="232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232"/>
      <c r="R38" s="232"/>
    </row>
    <row r="39">
      <c r="A39" s="233" t="s">
        <v>188</v>
      </c>
      <c r="B39" s="233" t="s">
        <v>189</v>
      </c>
      <c r="C39" s="234">
        <v>7.0</v>
      </c>
      <c r="D39" s="234"/>
      <c r="E39" s="235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</row>
    <row r="40">
      <c r="A40" s="233" t="s">
        <v>200</v>
      </c>
      <c r="B40" s="233" t="s">
        <v>201</v>
      </c>
      <c r="C40" s="234">
        <v>7.0</v>
      </c>
      <c r="D40" s="234"/>
      <c r="E40" s="235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</row>
    <row r="41">
      <c r="A41" s="236" t="s">
        <v>214</v>
      </c>
      <c r="B41" s="236" t="s">
        <v>134</v>
      </c>
      <c r="C41" s="237">
        <v>7.0</v>
      </c>
      <c r="D41" s="237"/>
      <c r="E41" s="238"/>
      <c r="F41" s="232"/>
      <c r="G41" s="232"/>
      <c r="H41" s="232"/>
      <c r="I41" s="232"/>
      <c r="J41" s="232"/>
      <c r="K41" s="232"/>
      <c r="L41" s="232"/>
      <c r="M41" s="232"/>
      <c r="N41" s="232"/>
      <c r="O41" s="232"/>
      <c r="P41" s="232"/>
      <c r="Q41" s="232"/>
      <c r="R41" s="232"/>
    </row>
    <row r="42">
      <c r="A42" s="233" t="s">
        <v>222</v>
      </c>
      <c r="B42" s="233" t="s">
        <v>201</v>
      </c>
      <c r="C42" s="234">
        <v>7.0</v>
      </c>
      <c r="D42" s="234"/>
      <c r="E42" s="235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</row>
    <row r="43">
      <c r="A43" s="233" t="s">
        <v>235</v>
      </c>
      <c r="B43" s="233" t="s">
        <v>236</v>
      </c>
      <c r="C43" s="234">
        <v>7.0</v>
      </c>
      <c r="D43" s="234"/>
      <c r="E43" s="235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</row>
    <row r="44">
      <c r="A44" s="236" t="s">
        <v>263</v>
      </c>
      <c r="B44" s="236" t="s">
        <v>264</v>
      </c>
      <c r="C44" s="237">
        <v>7.0</v>
      </c>
      <c r="D44" s="237"/>
      <c r="E44" s="238"/>
      <c r="F44" s="232"/>
      <c r="G44" s="232"/>
      <c r="H44" s="232"/>
      <c r="I44" s="232"/>
      <c r="J44" s="232"/>
      <c r="K44" s="232"/>
      <c r="L44" s="232"/>
      <c r="M44" s="232"/>
      <c r="N44" s="232"/>
      <c r="O44" s="232"/>
      <c r="P44" s="232"/>
      <c r="Q44" s="232"/>
      <c r="R44" s="232"/>
    </row>
    <row r="45">
      <c r="A45" s="6" t="s">
        <v>7</v>
      </c>
      <c r="B45" s="6" t="s">
        <v>8</v>
      </c>
      <c r="C45" s="7">
        <v>8.0</v>
      </c>
      <c r="D45" s="7"/>
      <c r="E45" s="7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</row>
    <row r="46">
      <c r="A46" s="236" t="s">
        <v>13</v>
      </c>
      <c r="B46" s="236" t="s">
        <v>14</v>
      </c>
      <c r="C46" s="237">
        <v>8.0</v>
      </c>
      <c r="D46" s="229" t="s">
        <v>499</v>
      </c>
      <c r="E46" s="252" t="s">
        <v>108</v>
      </c>
      <c r="F46" s="253"/>
      <c r="G46" s="254"/>
      <c r="H46" s="254" t="s">
        <v>12</v>
      </c>
      <c r="I46" s="253"/>
      <c r="J46" s="254" t="s">
        <v>12</v>
      </c>
      <c r="K46" s="253"/>
      <c r="L46" s="254" t="s">
        <v>12</v>
      </c>
      <c r="M46" s="253"/>
      <c r="N46" s="254" t="s">
        <v>12</v>
      </c>
      <c r="O46" s="253"/>
      <c r="P46" s="254" t="s">
        <v>12</v>
      </c>
      <c r="Q46" s="253"/>
      <c r="R46" s="253"/>
    </row>
    <row r="47">
      <c r="A47" s="228" t="s">
        <v>68</v>
      </c>
      <c r="B47" s="228" t="s">
        <v>74</v>
      </c>
      <c r="C47" s="229">
        <v>8.0</v>
      </c>
      <c r="D47" s="230"/>
      <c r="E47" s="231"/>
      <c r="F47" s="232"/>
      <c r="G47" s="232"/>
      <c r="H47" s="232"/>
      <c r="I47" s="232"/>
      <c r="J47" s="232"/>
      <c r="K47" s="232"/>
      <c r="L47" s="232"/>
      <c r="M47" s="232"/>
      <c r="N47" s="232"/>
      <c r="O47" s="232"/>
      <c r="P47" s="232"/>
      <c r="Q47" s="232"/>
      <c r="R47" s="232"/>
    </row>
    <row r="48">
      <c r="A48" s="246" t="s">
        <v>500</v>
      </c>
      <c r="B48" s="246" t="s">
        <v>501</v>
      </c>
      <c r="C48" s="255">
        <v>8.0</v>
      </c>
      <c r="D48" s="255"/>
      <c r="E48" s="256"/>
      <c r="F48" s="232"/>
      <c r="G48" s="232"/>
      <c r="H48" s="232"/>
      <c r="I48" s="232"/>
      <c r="J48" s="232"/>
      <c r="K48" s="232"/>
      <c r="L48" s="232"/>
      <c r="M48" s="232"/>
      <c r="N48" s="232"/>
      <c r="O48" s="232"/>
      <c r="P48" s="232"/>
      <c r="Q48" s="232"/>
      <c r="R48" s="232"/>
    </row>
    <row r="49">
      <c r="A49" s="236" t="s">
        <v>85</v>
      </c>
      <c r="B49" s="236" t="s">
        <v>86</v>
      </c>
      <c r="C49" s="237">
        <v>8.0</v>
      </c>
      <c r="D49" s="237"/>
      <c r="E49" s="238"/>
      <c r="F49" s="232"/>
      <c r="G49" s="232"/>
      <c r="H49" s="232"/>
      <c r="I49" s="232"/>
      <c r="J49" s="232"/>
      <c r="K49" s="232"/>
      <c r="L49" s="232"/>
      <c r="M49" s="232"/>
      <c r="N49" s="232"/>
      <c r="O49" s="232"/>
      <c r="P49" s="232"/>
      <c r="Q49" s="232"/>
      <c r="R49" s="232"/>
    </row>
    <row r="50">
      <c r="A50" s="228" t="s">
        <v>109</v>
      </c>
      <c r="B50" s="228" t="s">
        <v>110</v>
      </c>
      <c r="C50" s="229">
        <v>8.0</v>
      </c>
      <c r="D50" s="230"/>
      <c r="E50" s="231"/>
      <c r="F50" s="232"/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</row>
    <row r="51">
      <c r="A51" s="233" t="s">
        <v>115</v>
      </c>
      <c r="B51" s="233" t="s">
        <v>20</v>
      </c>
      <c r="C51" s="234">
        <v>8.0</v>
      </c>
      <c r="D51" s="234"/>
      <c r="E51" s="235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</row>
    <row r="52">
      <c r="A52" s="228" t="s">
        <v>162</v>
      </c>
      <c r="B52" s="228" t="s">
        <v>110</v>
      </c>
      <c r="C52" s="229">
        <v>8.0</v>
      </c>
      <c r="D52" s="230"/>
      <c r="E52" s="231"/>
      <c r="F52" s="232"/>
      <c r="G52" s="232"/>
      <c r="H52" s="232"/>
      <c r="I52" s="232"/>
      <c r="J52" s="232"/>
      <c r="K52" s="232"/>
      <c r="L52" s="232"/>
      <c r="M52" s="232"/>
      <c r="N52" s="232"/>
      <c r="O52" s="232"/>
      <c r="P52" s="232"/>
      <c r="Q52" s="232"/>
      <c r="R52" s="232"/>
    </row>
    <row r="53">
      <c r="A53" s="236" t="s">
        <v>164</v>
      </c>
      <c r="B53" s="236" t="s">
        <v>128</v>
      </c>
      <c r="C53" s="237">
        <v>8.0</v>
      </c>
      <c r="D53" s="237"/>
      <c r="E53" s="238"/>
      <c r="F53" s="232"/>
      <c r="G53" s="232"/>
      <c r="H53" s="232"/>
      <c r="I53" s="232"/>
      <c r="J53" s="232"/>
      <c r="K53" s="232"/>
      <c r="L53" s="232"/>
      <c r="M53" s="232"/>
      <c r="N53" s="232"/>
      <c r="O53" s="232"/>
      <c r="P53" s="232"/>
      <c r="Q53" s="232"/>
      <c r="R53" s="232"/>
    </row>
    <row r="54">
      <c r="A54" s="233" t="s">
        <v>177</v>
      </c>
      <c r="B54" s="233" t="s">
        <v>178</v>
      </c>
      <c r="C54" s="234">
        <v>8.0</v>
      </c>
      <c r="D54" s="234"/>
      <c r="E54" s="235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</row>
    <row r="55">
      <c r="A55" s="236" t="s">
        <v>194</v>
      </c>
      <c r="B55" s="236" t="s">
        <v>195</v>
      </c>
      <c r="C55" s="237">
        <v>8.0</v>
      </c>
      <c r="D55" s="237"/>
      <c r="E55" s="238"/>
      <c r="F55" s="232"/>
      <c r="G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</row>
    <row r="56">
      <c r="A56" s="236" t="s">
        <v>220</v>
      </c>
      <c r="B56" s="236" t="s">
        <v>216</v>
      </c>
      <c r="C56" s="237">
        <v>8.0</v>
      </c>
      <c r="D56" s="237"/>
      <c r="E56" s="238"/>
      <c r="F56" s="232"/>
      <c r="G56" s="232"/>
      <c r="H56" s="232"/>
      <c r="I56" s="232"/>
      <c r="J56" s="232"/>
      <c r="K56" s="232"/>
      <c r="L56" s="232"/>
      <c r="M56" s="232"/>
      <c r="N56" s="232"/>
      <c r="O56" s="232"/>
      <c r="P56" s="232"/>
      <c r="Q56" s="232"/>
      <c r="R56" s="232"/>
    </row>
    <row r="57">
      <c r="A57" s="228" t="s">
        <v>223</v>
      </c>
      <c r="B57" s="228" t="s">
        <v>110</v>
      </c>
      <c r="C57" s="229">
        <v>8.0</v>
      </c>
      <c r="D57" s="230"/>
      <c r="E57" s="231"/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</row>
    <row r="58">
      <c r="A58" s="233" t="s">
        <v>247</v>
      </c>
      <c r="B58" s="233" t="s">
        <v>248</v>
      </c>
      <c r="C58" s="234">
        <v>8.0</v>
      </c>
      <c r="D58" s="234"/>
      <c r="E58" s="235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</row>
    <row r="59" ht="23.25" customHeight="1">
      <c r="A59" s="232"/>
      <c r="B59" s="232"/>
      <c r="C59" s="232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</row>
    <row r="60" ht="21.75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6.5"/>
    <col customWidth="1" min="4" max="4" width="7.25"/>
    <col customWidth="1" min="5" max="5" width="3.38"/>
    <col customWidth="1" min="6" max="6" width="4.88"/>
    <col customWidth="1" min="9" max="9" width="4.5"/>
    <col customWidth="1" min="10" max="10" width="6.38"/>
    <col customWidth="1" min="11" max="11" width="6.75"/>
    <col customWidth="1" min="14" max="14" width="25.0"/>
    <col customWidth="1" min="15" max="15" width="22.5"/>
  </cols>
  <sheetData>
    <row r="1">
      <c r="A1" s="203" t="s">
        <v>492</v>
      </c>
      <c r="B1" s="203" t="s">
        <v>1</v>
      </c>
      <c r="C1" s="203" t="s">
        <v>2</v>
      </c>
      <c r="D1" s="257">
        <v>45791.0</v>
      </c>
    </row>
    <row r="2">
      <c r="A2" s="6"/>
      <c r="B2" s="6"/>
      <c r="C2" s="178"/>
      <c r="D2" s="27"/>
      <c r="E2" s="82"/>
      <c r="G2" s="6"/>
      <c r="H2" s="6"/>
      <c r="I2" s="178"/>
      <c r="J2" s="27"/>
      <c r="K2" s="82"/>
      <c r="N2" s="43"/>
      <c r="O2" s="258"/>
      <c r="P2" s="43"/>
      <c r="Q2" s="43"/>
    </row>
    <row r="3">
      <c r="A3" s="10"/>
      <c r="B3" s="10"/>
      <c r="C3" s="180"/>
      <c r="D3" s="40"/>
      <c r="E3" s="82"/>
      <c r="G3" s="10"/>
      <c r="H3" s="10"/>
      <c r="I3" s="180"/>
      <c r="J3" s="40"/>
      <c r="K3" s="82"/>
      <c r="N3" s="39"/>
      <c r="O3" s="39"/>
      <c r="P3" s="39"/>
      <c r="Q3" s="39"/>
    </row>
    <row r="4">
      <c r="A4" s="6"/>
      <c r="B4" s="6"/>
      <c r="C4" s="178"/>
      <c r="D4" s="27"/>
      <c r="E4" s="82"/>
      <c r="G4" s="6"/>
      <c r="H4" s="6"/>
      <c r="I4" s="178"/>
      <c r="J4" s="27"/>
      <c r="K4" s="82"/>
      <c r="N4" s="43"/>
      <c r="O4" s="258"/>
      <c r="P4" s="43"/>
      <c r="Q4" s="43"/>
    </row>
    <row r="5">
      <c r="A5" s="10"/>
      <c r="B5" s="10"/>
      <c r="C5" s="180"/>
      <c r="D5" s="40"/>
      <c r="E5" s="82"/>
      <c r="G5" s="10"/>
      <c r="H5" s="10"/>
      <c r="I5" s="180"/>
      <c r="J5" s="40"/>
      <c r="K5" s="82"/>
      <c r="N5" s="39"/>
      <c r="O5" s="259"/>
      <c r="P5" s="39"/>
      <c r="Q5" s="39"/>
    </row>
    <row r="6">
      <c r="A6" s="6"/>
      <c r="B6" s="6"/>
      <c r="C6" s="178"/>
      <c r="D6" s="27"/>
      <c r="E6" s="82"/>
      <c r="G6" s="6"/>
      <c r="H6" s="6"/>
      <c r="I6" s="178"/>
      <c r="J6" s="27"/>
      <c r="K6" s="82"/>
      <c r="N6" s="260"/>
      <c r="O6" s="43"/>
      <c r="P6" s="43"/>
      <c r="Q6" s="43"/>
    </row>
    <row r="7">
      <c r="A7" s="10"/>
      <c r="B7" s="10"/>
      <c r="C7" s="180"/>
      <c r="D7" s="40"/>
      <c r="E7" s="82"/>
      <c r="G7" s="10"/>
      <c r="H7" s="16"/>
      <c r="I7" s="180"/>
      <c r="J7" s="40"/>
      <c r="K7" s="82"/>
      <c r="N7" s="39"/>
      <c r="O7" s="39"/>
      <c r="P7" s="39"/>
      <c r="Q7" s="39"/>
    </row>
    <row r="8">
      <c r="A8" s="261"/>
      <c r="B8" s="261"/>
      <c r="C8" s="213"/>
      <c r="D8" s="215"/>
      <c r="E8" s="82"/>
      <c r="G8" s="6"/>
      <c r="H8" s="29"/>
      <c r="I8" s="178"/>
      <c r="J8" s="27"/>
      <c r="K8" s="82"/>
      <c r="N8" s="43"/>
      <c r="O8" s="43"/>
      <c r="P8" s="43"/>
      <c r="Q8" s="43"/>
    </row>
    <row r="9">
      <c r="A9" s="10"/>
      <c r="B9" s="10"/>
      <c r="C9" s="180"/>
      <c r="D9" s="40"/>
      <c r="E9" s="82"/>
      <c r="G9" s="10"/>
      <c r="H9" s="10"/>
      <c r="I9" s="180"/>
      <c r="J9" s="40"/>
      <c r="K9" s="82"/>
      <c r="N9" s="39"/>
      <c r="O9" s="39"/>
      <c r="P9" s="39"/>
      <c r="Q9" s="39"/>
    </row>
    <row r="10">
      <c r="A10" s="6"/>
      <c r="B10" s="6"/>
      <c r="C10" s="178"/>
      <c r="D10" s="27"/>
      <c r="E10" s="82"/>
      <c r="G10" s="6"/>
      <c r="H10" s="6"/>
      <c r="I10" s="178"/>
      <c r="J10" s="27"/>
      <c r="K10" s="82"/>
      <c r="N10" s="43"/>
      <c r="O10" s="43"/>
      <c r="P10" s="43"/>
      <c r="Q10" s="43"/>
    </row>
    <row r="11">
      <c r="A11" s="10"/>
      <c r="B11" s="10"/>
      <c r="C11" s="180"/>
      <c r="D11" s="40"/>
      <c r="E11" s="82"/>
      <c r="G11" s="6"/>
      <c r="H11" s="6"/>
      <c r="I11" s="178"/>
      <c r="J11" s="27"/>
      <c r="K11" s="82"/>
      <c r="N11" s="39"/>
      <c r="O11" s="39"/>
      <c r="P11" s="39"/>
      <c r="Q11" s="39"/>
    </row>
    <row r="12">
      <c r="A12" s="6"/>
      <c r="B12" s="6"/>
      <c r="C12" s="178"/>
      <c r="D12" s="27"/>
      <c r="E12" s="82"/>
      <c r="G12" s="10"/>
      <c r="H12" s="10"/>
      <c r="I12" s="180"/>
      <c r="J12" s="40"/>
      <c r="K12" s="82"/>
      <c r="N12" s="43"/>
      <c r="O12" s="43"/>
      <c r="P12" s="43"/>
      <c r="Q12" s="43"/>
    </row>
    <row r="13">
      <c r="A13" s="10"/>
      <c r="B13" s="10"/>
      <c r="C13" s="180"/>
      <c r="D13" s="40"/>
      <c r="E13" s="82"/>
      <c r="G13" s="6"/>
      <c r="H13" s="6"/>
      <c r="I13" s="178"/>
      <c r="J13" s="27"/>
      <c r="K13" s="82"/>
      <c r="N13" s="39"/>
      <c r="O13" s="259"/>
      <c r="P13" s="39"/>
      <c r="Q13" s="39"/>
    </row>
    <row r="14">
      <c r="A14" s="6"/>
      <c r="B14" s="6"/>
      <c r="C14" s="178"/>
      <c r="D14" s="27"/>
      <c r="E14" s="82"/>
      <c r="G14" s="16"/>
      <c r="H14" s="16"/>
      <c r="I14" s="194"/>
      <c r="J14" s="40"/>
      <c r="K14" s="82"/>
      <c r="N14" s="43"/>
      <c r="O14" s="43"/>
      <c r="P14" s="43"/>
      <c r="Q14" s="43"/>
    </row>
    <row r="15">
      <c r="A15" s="10"/>
      <c r="B15" s="10"/>
      <c r="C15" s="180"/>
      <c r="D15" s="40"/>
      <c r="E15" s="82"/>
      <c r="G15" s="10"/>
      <c r="H15" s="10"/>
      <c r="I15" s="180"/>
      <c r="J15" s="40"/>
      <c r="K15" s="82"/>
      <c r="N15" s="39"/>
      <c r="O15" s="259"/>
      <c r="P15" s="39"/>
      <c r="Q15" s="39"/>
    </row>
    <row r="16">
      <c r="A16" s="6"/>
      <c r="B16" s="6"/>
      <c r="C16" s="178"/>
      <c r="D16" s="27"/>
      <c r="E16" s="82"/>
      <c r="G16" s="6"/>
      <c r="H16" s="6"/>
      <c r="I16" s="178"/>
      <c r="J16" s="27"/>
      <c r="K16" s="82"/>
      <c r="N16" s="43"/>
      <c r="O16" s="258"/>
      <c r="P16" s="43"/>
      <c r="Q16" s="43"/>
    </row>
    <row r="17">
      <c r="A17" s="10"/>
      <c r="B17" s="10"/>
      <c r="C17" s="180"/>
      <c r="D17" s="40"/>
      <c r="E17" s="82"/>
      <c r="G17" s="6"/>
      <c r="H17" s="6"/>
      <c r="I17" s="178"/>
      <c r="J17" s="27"/>
      <c r="K17" s="82"/>
      <c r="N17" s="39"/>
      <c r="O17" s="39"/>
      <c r="P17" s="39"/>
      <c r="Q17" s="39"/>
    </row>
    <row r="18">
      <c r="A18" s="6"/>
      <c r="B18" s="6"/>
      <c r="C18" s="178"/>
      <c r="D18" s="27"/>
      <c r="E18" s="82"/>
      <c r="G18" s="10"/>
      <c r="H18" s="10"/>
      <c r="I18" s="180"/>
      <c r="J18" s="40"/>
      <c r="K18" s="82"/>
      <c r="N18" s="43"/>
      <c r="O18" s="43"/>
      <c r="P18" s="43"/>
      <c r="Q18" s="43"/>
    </row>
    <row r="19">
      <c r="A19" s="10"/>
      <c r="B19" s="10"/>
      <c r="C19" s="180"/>
      <c r="D19" s="40"/>
      <c r="E19" s="82"/>
      <c r="G19" s="6"/>
      <c r="H19" s="6"/>
      <c r="I19" s="178"/>
      <c r="J19" s="27"/>
      <c r="K19" s="82"/>
      <c r="N19" s="39"/>
      <c r="O19" s="39"/>
      <c r="P19" s="39"/>
      <c r="Q19" s="39"/>
    </row>
    <row r="20">
      <c r="A20" s="6"/>
      <c r="B20" s="6"/>
      <c r="C20" s="178"/>
      <c r="D20" s="27"/>
      <c r="E20" s="82"/>
      <c r="G20" s="10"/>
      <c r="H20" s="10"/>
      <c r="I20" s="180"/>
      <c r="J20" s="40"/>
      <c r="K20" s="82"/>
      <c r="N20" s="43"/>
      <c r="O20" s="43"/>
      <c r="P20" s="43"/>
      <c r="Q20" s="43"/>
    </row>
    <row r="21">
      <c r="A21" s="10"/>
      <c r="B21" s="10"/>
      <c r="C21" s="180"/>
      <c r="D21" s="40"/>
      <c r="E21" s="82"/>
      <c r="G21" s="6"/>
      <c r="H21" s="6"/>
      <c r="I21" s="178"/>
      <c r="J21" s="27"/>
      <c r="K21" s="82"/>
      <c r="N21" s="39"/>
      <c r="O21" s="39"/>
      <c r="P21" s="39"/>
      <c r="Q21" s="39"/>
    </row>
    <row r="22">
      <c r="A22" s="6"/>
      <c r="B22" s="6"/>
      <c r="C22" s="178"/>
      <c r="D22" s="27"/>
      <c r="E22" s="82"/>
      <c r="G22" s="16"/>
      <c r="H22" s="10"/>
      <c r="I22" s="194"/>
      <c r="J22" s="42"/>
      <c r="K22" s="82"/>
      <c r="N22" s="43"/>
      <c r="O22" s="258"/>
      <c r="P22" s="43"/>
      <c r="Q22" s="43"/>
    </row>
    <row r="23">
      <c r="A23" s="10"/>
      <c r="B23" s="10"/>
      <c r="C23" s="180"/>
      <c r="D23" s="40"/>
      <c r="E23" s="82"/>
      <c r="G23" s="10"/>
      <c r="H23" s="10"/>
      <c r="I23" s="180"/>
      <c r="J23" s="42"/>
      <c r="K23" s="82"/>
      <c r="N23" s="39"/>
      <c r="O23" s="39"/>
      <c r="P23" s="39"/>
      <c r="Q23" s="39"/>
    </row>
    <row r="24">
      <c r="A24" s="6"/>
      <c r="B24" s="6"/>
      <c r="C24" s="178"/>
      <c r="D24" s="27"/>
      <c r="E24" s="82"/>
      <c r="G24" s="6"/>
      <c r="H24" s="6"/>
      <c r="I24" s="178"/>
      <c r="J24" s="44"/>
      <c r="K24" s="82"/>
      <c r="N24" s="43"/>
      <c r="O24" s="43"/>
      <c r="P24" s="43"/>
      <c r="Q24" s="43"/>
    </row>
    <row r="25">
      <c r="A25" s="262"/>
      <c r="B25" s="262"/>
      <c r="C25" s="199"/>
      <c r="D25" s="263"/>
      <c r="E25" s="82"/>
      <c r="G25" s="10"/>
      <c r="H25" s="10"/>
      <c r="I25" s="180"/>
      <c r="J25" s="40"/>
      <c r="K25" s="82"/>
      <c r="N25" s="198"/>
      <c r="O25" s="198"/>
      <c r="P25" s="198"/>
      <c r="Q25" s="198"/>
    </row>
    <row r="26">
      <c r="A26" s="6"/>
      <c r="B26" s="6"/>
      <c r="C26" s="201"/>
      <c r="D26" s="40"/>
      <c r="E26" s="82"/>
      <c r="G26" s="6"/>
      <c r="H26" s="6"/>
      <c r="I26" s="178"/>
      <c r="J26" s="27"/>
      <c r="K26" s="82"/>
      <c r="N26" s="39"/>
      <c r="O26" s="39"/>
      <c r="P26" s="43"/>
      <c r="Q26" s="43"/>
    </row>
    <row r="27">
      <c r="A27" s="10"/>
      <c r="B27" s="10"/>
      <c r="C27" s="180"/>
      <c r="D27" s="40"/>
      <c r="E27" s="82"/>
      <c r="G27" s="10"/>
      <c r="H27" s="10"/>
      <c r="I27" s="180"/>
      <c r="J27" s="40"/>
      <c r="K27" s="82"/>
      <c r="N27" s="39"/>
      <c r="O27" s="39"/>
      <c r="P27" s="39"/>
      <c r="Q27" s="39"/>
    </row>
    <row r="28">
      <c r="A28" s="29"/>
      <c r="B28" s="29"/>
      <c r="C28" s="202"/>
      <c r="D28" s="27"/>
      <c r="E28" s="82"/>
      <c r="G28" s="6"/>
      <c r="H28" s="6"/>
      <c r="I28" s="178"/>
      <c r="J28" s="27"/>
      <c r="K28" s="82"/>
      <c r="N28" s="264"/>
      <c r="O28" s="198"/>
      <c r="P28" s="182"/>
      <c r="Q28" s="182"/>
    </row>
    <row r="29">
      <c r="A29" s="6"/>
      <c r="B29" s="6"/>
      <c r="C29" s="178"/>
      <c r="D29" s="27"/>
      <c r="E29" s="82"/>
      <c r="G29" s="6"/>
      <c r="H29" s="6"/>
      <c r="I29" s="178"/>
      <c r="J29" s="27"/>
      <c r="K29" s="82"/>
      <c r="N29" s="43"/>
      <c r="O29" s="43"/>
      <c r="P29" s="43"/>
      <c r="Q29" s="43"/>
    </row>
    <row r="30">
      <c r="A30" s="10"/>
      <c r="B30" s="10"/>
      <c r="C30" s="180"/>
      <c r="D30" s="40"/>
      <c r="E30" s="82"/>
      <c r="G30" s="10"/>
      <c r="H30" s="10"/>
      <c r="I30" s="180"/>
      <c r="J30" s="40"/>
      <c r="K30" s="82"/>
      <c r="N30" s="39"/>
      <c r="O30" s="39"/>
      <c r="P30" s="39"/>
      <c r="Q30" s="39"/>
    </row>
    <row r="31">
      <c r="A31" s="29"/>
      <c r="B31" s="29"/>
      <c r="C31" s="178"/>
      <c r="D31" s="27"/>
      <c r="E31" s="82"/>
      <c r="N31" s="43"/>
      <c r="O31" s="43"/>
      <c r="P31" s="43"/>
      <c r="Q31" s="43"/>
    </row>
    <row r="32">
      <c r="A32" s="16"/>
      <c r="B32" s="16"/>
      <c r="C32" s="180"/>
      <c r="D32" s="40"/>
      <c r="E32" s="82"/>
      <c r="N32" s="39"/>
      <c r="O32" s="39"/>
      <c r="P32" s="39"/>
      <c r="Q32" s="39"/>
    </row>
    <row r="33">
      <c r="N33" s="43"/>
      <c r="O33" s="43"/>
      <c r="P33" s="43"/>
      <c r="Q33" s="43"/>
    </row>
    <row r="34">
      <c r="N34" s="39"/>
      <c r="O34" s="39"/>
      <c r="P34" s="39"/>
      <c r="Q34" s="39"/>
    </row>
    <row r="35">
      <c r="N35" s="43"/>
      <c r="O35" s="258"/>
      <c r="P35" s="43"/>
      <c r="Q35" s="43"/>
    </row>
    <row r="36">
      <c r="N36" s="39"/>
      <c r="O36" s="259"/>
      <c r="P36" s="39"/>
      <c r="Q36" s="39"/>
    </row>
    <row r="37">
      <c r="N37" s="43"/>
      <c r="O37" s="258"/>
      <c r="P37" s="43"/>
      <c r="Q37" s="43"/>
    </row>
    <row r="38">
      <c r="N38" s="39"/>
      <c r="O38" s="39"/>
      <c r="P38" s="39"/>
      <c r="Q38" s="39"/>
    </row>
    <row r="39">
      <c r="N39" s="43"/>
      <c r="O39" s="43"/>
      <c r="P39" s="43"/>
      <c r="Q39" s="43"/>
    </row>
    <row r="40">
      <c r="N40" s="39"/>
      <c r="O40" s="39"/>
      <c r="P40" s="39"/>
      <c r="Q40" s="39"/>
    </row>
    <row r="41">
      <c r="N41" s="43"/>
      <c r="O41" s="43"/>
      <c r="P41" s="43"/>
      <c r="Q41" s="43"/>
    </row>
    <row r="42">
      <c r="N42" s="43"/>
      <c r="O42" s="43"/>
      <c r="P42" s="43"/>
      <c r="Q42" s="43"/>
    </row>
    <row r="43">
      <c r="N43" s="39"/>
      <c r="O43" s="39"/>
      <c r="P43" s="39"/>
      <c r="Q43" s="39"/>
    </row>
    <row r="44">
      <c r="N44" s="43"/>
      <c r="O44" s="258"/>
      <c r="P44" s="43"/>
      <c r="Q44" s="43"/>
    </row>
    <row r="45">
      <c r="N45" s="43"/>
      <c r="O45" s="43"/>
      <c r="P45" s="38"/>
      <c r="Q45" s="38"/>
    </row>
    <row r="46">
      <c r="N46" s="39"/>
      <c r="O46" s="259"/>
      <c r="P46" s="39"/>
      <c r="Q46" s="39"/>
    </row>
    <row r="47">
      <c r="N47" s="43"/>
      <c r="O47" s="43"/>
      <c r="P47" s="43"/>
      <c r="Q47" s="43"/>
    </row>
    <row r="48">
      <c r="N48" s="43"/>
      <c r="O48" s="43"/>
      <c r="P48" s="43"/>
      <c r="Q48" s="43"/>
    </row>
    <row r="49">
      <c r="N49" s="39"/>
      <c r="O49" s="39"/>
      <c r="P49" s="39"/>
      <c r="Q49" s="39"/>
    </row>
    <row r="50">
      <c r="N50" s="43"/>
      <c r="O50" s="43"/>
      <c r="P50" s="43"/>
      <c r="Q50" s="43"/>
    </row>
    <row r="51">
      <c r="N51" s="39"/>
      <c r="O51" s="39"/>
      <c r="P51" s="39"/>
      <c r="Q51" s="39"/>
    </row>
    <row r="52">
      <c r="N52" s="43"/>
      <c r="O52" s="43"/>
      <c r="P52" s="43"/>
      <c r="Q52" s="43"/>
    </row>
    <row r="53">
      <c r="N53" s="39"/>
      <c r="O53" s="39"/>
      <c r="P53" s="38"/>
      <c r="Q53" s="39"/>
    </row>
    <row r="54">
      <c r="N54" s="39"/>
      <c r="O54" s="39"/>
      <c r="P54" s="39"/>
      <c r="Q54" s="39"/>
    </row>
    <row r="55">
      <c r="N55" s="43"/>
      <c r="O55" s="43"/>
      <c r="P55" s="43"/>
      <c r="Q55" s="43"/>
    </row>
    <row r="56">
      <c r="N56" s="39"/>
      <c r="O56" s="39"/>
      <c r="P56" s="39"/>
      <c r="Q56" s="39"/>
    </row>
    <row r="57">
      <c r="N57" s="43"/>
      <c r="O57" s="43"/>
      <c r="P57" s="43"/>
      <c r="Q57" s="43"/>
    </row>
    <row r="58">
      <c r="N58" s="39"/>
      <c r="O58" s="39"/>
      <c r="P58" s="39"/>
      <c r="Q58" s="39"/>
    </row>
    <row r="59">
      <c r="N59" s="43"/>
      <c r="O59" s="43"/>
      <c r="P59" s="43"/>
      <c r="Q59" s="43"/>
    </row>
    <row r="60">
      <c r="N60" s="43"/>
      <c r="O60" s="258"/>
      <c r="P60" s="43"/>
      <c r="Q60" s="43"/>
    </row>
    <row r="61">
      <c r="N61" s="39"/>
      <c r="O61" s="259"/>
      <c r="P61" s="39"/>
      <c r="Q61" s="39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14.63"/>
    <col customWidth="1" min="3" max="3" width="23.88"/>
    <col customWidth="1" min="4" max="4" width="22.75"/>
  </cols>
  <sheetData>
    <row r="1">
      <c r="A1" s="265" t="s">
        <v>502</v>
      </c>
      <c r="B1" s="266" t="s">
        <v>311</v>
      </c>
      <c r="C1" s="267" t="s">
        <v>503</v>
      </c>
      <c r="D1" s="266" t="s">
        <v>504</v>
      </c>
    </row>
    <row r="2">
      <c r="A2" s="46" t="s">
        <v>505</v>
      </c>
      <c r="B2" s="268"/>
      <c r="C2" s="5" t="s">
        <v>506</v>
      </c>
    </row>
    <row r="3">
      <c r="A3" s="67"/>
      <c r="C3" s="5" t="s">
        <v>506</v>
      </c>
    </row>
    <row r="4">
      <c r="A4" s="46"/>
      <c r="B4" s="269"/>
      <c r="C4" s="5" t="s">
        <v>506</v>
      </c>
    </row>
    <row r="5">
      <c r="C5" s="5" t="s">
        <v>507</v>
      </c>
    </row>
    <row r="6">
      <c r="A6" s="46" t="s">
        <v>508</v>
      </c>
      <c r="B6" s="268"/>
      <c r="C6" s="5" t="s">
        <v>509</v>
      </c>
    </row>
    <row r="7">
      <c r="A7" s="46"/>
      <c r="B7" s="268"/>
      <c r="C7" s="5" t="s">
        <v>509</v>
      </c>
    </row>
    <row r="8">
      <c r="A8" s="46"/>
      <c r="B8" s="268"/>
      <c r="C8" s="5" t="s">
        <v>509</v>
      </c>
    </row>
    <row r="9">
      <c r="A9" s="46"/>
      <c r="B9" s="268"/>
      <c r="C9" s="5" t="s">
        <v>509</v>
      </c>
    </row>
    <row r="10">
      <c r="A10" s="46"/>
      <c r="B10" s="268"/>
      <c r="C10" s="5" t="s">
        <v>509</v>
      </c>
    </row>
    <row r="11">
      <c r="A11" s="46"/>
      <c r="B11" s="268"/>
      <c r="C11" s="5" t="s">
        <v>509</v>
      </c>
    </row>
    <row r="12">
      <c r="A12" s="46"/>
      <c r="B12" s="268"/>
      <c r="C12" s="5" t="s">
        <v>509</v>
      </c>
    </row>
    <row r="13">
      <c r="A13" s="46"/>
      <c r="B13" s="268"/>
      <c r="C13" s="5" t="s">
        <v>509</v>
      </c>
    </row>
    <row r="14">
      <c r="A14" s="46" t="s">
        <v>510</v>
      </c>
      <c r="B14" s="268"/>
      <c r="C14" s="5" t="s">
        <v>506</v>
      </c>
    </row>
    <row r="15">
      <c r="C15" s="5" t="s">
        <v>506</v>
      </c>
    </row>
    <row r="16">
      <c r="A16" s="46"/>
      <c r="B16" s="269"/>
      <c r="C16" s="5" t="s">
        <v>506</v>
      </c>
    </row>
    <row r="17">
      <c r="A17" s="46"/>
      <c r="B17" s="269"/>
      <c r="C17" s="5" t="s">
        <v>507</v>
      </c>
    </row>
    <row r="18">
      <c r="A18" s="46" t="s">
        <v>511</v>
      </c>
      <c r="B18" s="269"/>
      <c r="C18" s="5" t="s">
        <v>506</v>
      </c>
    </row>
    <row r="19">
      <c r="C19" s="5" t="s">
        <v>506</v>
      </c>
    </row>
    <row r="20">
      <c r="A20" s="46"/>
      <c r="B20" s="269"/>
      <c r="C20" s="5" t="s">
        <v>506</v>
      </c>
      <c r="D20" s="151"/>
    </row>
    <row r="21">
      <c r="A21" s="46"/>
      <c r="B21" s="269"/>
      <c r="C21" s="5" t="s">
        <v>507</v>
      </c>
    </row>
    <row r="22" ht="30.75" customHeight="1">
      <c r="A22" s="46" t="s">
        <v>512</v>
      </c>
      <c r="B22" s="269"/>
      <c r="C22" s="270" t="s">
        <v>513</v>
      </c>
    </row>
    <row r="24">
      <c r="C24" s="5" t="s">
        <v>506</v>
      </c>
    </row>
    <row r="25">
      <c r="C25" s="5" t="s">
        <v>506</v>
      </c>
    </row>
    <row r="26">
      <c r="C26" s="5" t="s">
        <v>507</v>
      </c>
    </row>
    <row r="27">
      <c r="A27" s="46" t="s">
        <v>514</v>
      </c>
      <c r="B27" s="269"/>
    </row>
    <row r="28">
      <c r="B28" s="5" t="s">
        <v>515</v>
      </c>
      <c r="C28" s="5" t="s">
        <v>516</v>
      </c>
    </row>
    <row r="29">
      <c r="B29" s="5" t="s">
        <v>515</v>
      </c>
      <c r="C29" s="5" t="s">
        <v>516</v>
      </c>
    </row>
    <row r="30">
      <c r="B30" s="5" t="s">
        <v>515</v>
      </c>
      <c r="C30" s="5" t="s">
        <v>517</v>
      </c>
    </row>
    <row r="31">
      <c r="B31" s="5" t="s">
        <v>515</v>
      </c>
      <c r="C31" s="5" t="s">
        <v>517</v>
      </c>
    </row>
    <row r="32">
      <c r="B32" s="5" t="s">
        <v>515</v>
      </c>
      <c r="C32" s="5" t="s">
        <v>518</v>
      </c>
    </row>
    <row r="33">
      <c r="B33" s="5" t="s">
        <v>515</v>
      </c>
      <c r="C33" s="5" t="s">
        <v>518</v>
      </c>
    </row>
    <row r="34">
      <c r="B34" s="5" t="s">
        <v>519</v>
      </c>
      <c r="C34" s="5" t="s">
        <v>520</v>
      </c>
    </row>
    <row r="35">
      <c r="B35" s="5" t="s">
        <v>519</v>
      </c>
      <c r="C35" s="5" t="s">
        <v>520</v>
      </c>
    </row>
    <row r="36">
      <c r="B36" s="5" t="s">
        <v>519</v>
      </c>
      <c r="C36" s="5" t="s">
        <v>520</v>
      </c>
    </row>
    <row r="37">
      <c r="B37" s="5" t="s">
        <v>519</v>
      </c>
      <c r="C37" s="5" t="s">
        <v>520</v>
      </c>
      <c r="E37" s="5" t="s">
        <v>521</v>
      </c>
    </row>
    <row r="38">
      <c r="B38" s="5" t="s">
        <v>519</v>
      </c>
      <c r="C38" s="5" t="s">
        <v>520</v>
      </c>
    </row>
    <row r="39">
      <c r="B39" s="5" t="s">
        <v>519</v>
      </c>
      <c r="C39" s="5" t="s">
        <v>520</v>
      </c>
    </row>
    <row r="40">
      <c r="B40" s="5" t="s">
        <v>519</v>
      </c>
      <c r="C40" s="5" t="s">
        <v>520</v>
      </c>
    </row>
  </sheetData>
  <mergeCells count="1">
    <mergeCell ref="C22:C23"/>
  </mergeCells>
  <hyperlinks>
    <hyperlink r:id="rId1" location="/" ref="C22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0"/>
    <col customWidth="1" min="3" max="3" width="7.0"/>
    <col customWidth="1" min="6" max="6" width="20.63"/>
    <col customWidth="1" min="7" max="7" width="16.25"/>
    <col customWidth="1" min="8" max="8" width="6.5"/>
    <col customWidth="1" min="9" max="9" width="19.25"/>
    <col customWidth="1" min="10" max="10" width="5.0"/>
    <col customWidth="1" min="11" max="11" width="18.25"/>
    <col customWidth="1" min="12" max="12" width="25.38"/>
    <col customWidth="1" min="14" max="14" width="30.88"/>
  </cols>
  <sheetData>
    <row r="1">
      <c r="A1" s="271" t="s">
        <v>522</v>
      </c>
      <c r="B1" s="74"/>
      <c r="C1" s="272"/>
      <c r="F1" s="5" t="s">
        <v>523</v>
      </c>
      <c r="G1" s="273" t="s">
        <v>524</v>
      </c>
      <c r="H1" s="272"/>
      <c r="I1" s="274" t="s">
        <v>525</v>
      </c>
      <c r="J1" s="275"/>
      <c r="K1" s="276"/>
      <c r="L1" s="277" t="s">
        <v>526</v>
      </c>
    </row>
    <row r="2">
      <c r="A2" s="278" t="s">
        <v>312</v>
      </c>
      <c r="B2" s="279">
        <v>0.6458333333333334</v>
      </c>
      <c r="C2" s="272"/>
      <c r="D2" s="212"/>
      <c r="E2" s="212"/>
      <c r="F2" s="280"/>
      <c r="G2" s="281"/>
      <c r="H2" s="272"/>
      <c r="I2" s="282"/>
      <c r="J2" s="283"/>
      <c r="K2" s="284" t="s">
        <v>527</v>
      </c>
      <c r="L2" s="285"/>
      <c r="M2" s="286"/>
      <c r="N2" s="286"/>
      <c r="O2" s="287"/>
      <c r="P2" s="287"/>
    </row>
    <row r="3">
      <c r="A3" s="278" t="s">
        <v>528</v>
      </c>
      <c r="B3" s="279">
        <v>0.7291666666666666</v>
      </c>
      <c r="C3" s="272"/>
      <c r="D3" s="288"/>
      <c r="E3" s="288"/>
      <c r="F3" s="289"/>
      <c r="G3" s="290"/>
      <c r="H3" s="272"/>
      <c r="I3" s="291"/>
      <c r="J3" s="292"/>
      <c r="K3" s="293"/>
      <c r="L3" s="294"/>
      <c r="M3" s="287"/>
      <c r="N3" s="287"/>
      <c r="O3" s="287"/>
      <c r="P3" s="287"/>
    </row>
    <row r="4">
      <c r="A4" s="295" t="s">
        <v>529</v>
      </c>
      <c r="C4" s="272"/>
      <c r="D4" s="212"/>
      <c r="E4" s="212"/>
      <c r="F4" s="280"/>
      <c r="G4" s="281"/>
      <c r="H4" s="272"/>
      <c r="I4" s="291"/>
      <c r="J4" s="296"/>
      <c r="K4" s="284" t="s">
        <v>530</v>
      </c>
      <c r="L4" s="285"/>
      <c r="M4" s="286"/>
      <c r="N4" s="297"/>
      <c r="O4" s="298"/>
      <c r="P4" s="299"/>
    </row>
    <row r="5">
      <c r="C5" s="272"/>
      <c r="D5" s="288"/>
      <c r="E5" s="288"/>
      <c r="F5" s="289"/>
      <c r="G5" s="290"/>
      <c r="H5" s="272"/>
      <c r="I5" s="291"/>
      <c r="J5" s="296"/>
      <c r="K5" s="293"/>
      <c r="L5" s="287"/>
      <c r="M5" s="287"/>
      <c r="N5" s="298"/>
      <c r="O5" s="298"/>
      <c r="P5" s="299"/>
    </row>
    <row r="6">
      <c r="C6" s="272"/>
      <c r="D6" s="212"/>
      <c r="E6" s="212"/>
      <c r="F6" s="280"/>
      <c r="G6" s="281"/>
      <c r="H6" s="272"/>
      <c r="I6" s="291"/>
      <c r="J6" s="296"/>
      <c r="K6" s="300" t="s">
        <v>531</v>
      </c>
      <c r="L6" s="301"/>
      <c r="M6" s="302"/>
      <c r="N6" s="303"/>
      <c r="O6" s="298"/>
      <c r="P6" s="299"/>
    </row>
    <row r="7">
      <c r="C7" s="272"/>
      <c r="D7" s="288"/>
      <c r="E7" s="288"/>
      <c r="F7" s="289"/>
      <c r="G7" s="304"/>
      <c r="H7" s="272"/>
      <c r="I7" s="291"/>
      <c r="J7" s="296"/>
      <c r="K7" s="305"/>
      <c r="L7" s="294"/>
      <c r="M7" s="287"/>
      <c r="N7" s="298"/>
      <c r="O7" s="298"/>
      <c r="P7" s="299"/>
    </row>
    <row r="8">
      <c r="C8" s="272"/>
      <c r="D8" s="212"/>
      <c r="E8" s="212"/>
      <c r="F8" s="280"/>
      <c r="G8" s="281"/>
      <c r="H8" s="272"/>
      <c r="I8" s="306"/>
      <c r="J8" s="296"/>
      <c r="K8" s="305"/>
      <c r="L8" s="287"/>
      <c r="M8" s="287"/>
      <c r="N8" s="298"/>
      <c r="O8" s="298"/>
      <c r="P8" s="299"/>
    </row>
    <row r="9">
      <c r="C9" s="272"/>
      <c r="D9" s="288"/>
      <c r="E9" s="288"/>
      <c r="F9" s="289"/>
      <c r="G9" s="290"/>
      <c r="H9" s="272"/>
      <c r="I9" s="291"/>
      <c r="J9" s="296"/>
      <c r="K9" s="307" t="s">
        <v>532</v>
      </c>
      <c r="L9" s="286"/>
      <c r="M9" s="286"/>
      <c r="N9" s="308"/>
      <c r="O9" s="298"/>
      <c r="P9" s="299"/>
    </row>
    <row r="10">
      <c r="C10" s="272"/>
      <c r="D10" s="212"/>
      <c r="E10" s="212"/>
      <c r="F10" s="280"/>
      <c r="G10" s="281"/>
      <c r="H10" s="272"/>
      <c r="I10" s="291"/>
      <c r="J10" s="296"/>
      <c r="K10" s="309" t="s">
        <v>533</v>
      </c>
      <c r="L10" s="294"/>
      <c r="M10" s="287"/>
      <c r="N10" s="298"/>
      <c r="O10" s="298"/>
      <c r="P10" s="299"/>
    </row>
    <row r="11">
      <c r="C11" s="272"/>
      <c r="D11" s="288"/>
      <c r="E11" s="288"/>
      <c r="F11" s="289"/>
      <c r="G11" s="290"/>
      <c r="H11" s="272"/>
      <c r="I11" s="291"/>
      <c r="J11" s="296"/>
      <c r="K11" s="309" t="s">
        <v>534</v>
      </c>
      <c r="L11" s="294"/>
      <c r="M11" s="287"/>
      <c r="N11" s="298"/>
      <c r="O11" s="298"/>
      <c r="P11" s="299"/>
    </row>
    <row r="12">
      <c r="C12" s="272"/>
      <c r="D12" s="212"/>
      <c r="E12" s="212"/>
      <c r="F12" s="280"/>
      <c r="G12" s="281"/>
      <c r="H12" s="272"/>
      <c r="I12" s="291"/>
      <c r="J12" s="296"/>
      <c r="K12" s="293"/>
      <c r="L12" s="287"/>
      <c r="M12" s="287"/>
      <c r="N12" s="298"/>
      <c r="O12" s="298"/>
      <c r="P12" s="299"/>
    </row>
    <row r="13">
      <c r="C13" s="272"/>
      <c r="D13" s="288"/>
      <c r="E13" s="288"/>
      <c r="F13" s="289"/>
      <c r="G13" s="290"/>
      <c r="H13" s="272"/>
      <c r="I13" s="291"/>
      <c r="J13" s="296"/>
      <c r="K13" s="284" t="s">
        <v>535</v>
      </c>
      <c r="L13" s="285"/>
      <c r="M13" s="286"/>
      <c r="N13" s="308"/>
      <c r="O13" s="298"/>
      <c r="P13" s="299"/>
    </row>
    <row r="14">
      <c r="C14" s="272"/>
      <c r="D14" s="212"/>
      <c r="E14" s="212"/>
      <c r="F14" s="280"/>
      <c r="G14" s="281"/>
      <c r="H14" s="272"/>
      <c r="I14" s="291"/>
      <c r="J14" s="296"/>
      <c r="K14" s="309"/>
      <c r="L14" s="294"/>
      <c r="M14" s="287"/>
      <c r="N14" s="298"/>
      <c r="O14" s="298"/>
      <c r="P14" s="299"/>
    </row>
    <row r="15">
      <c r="C15" s="310"/>
      <c r="D15" s="288"/>
      <c r="E15" s="288"/>
      <c r="F15" s="289"/>
      <c r="G15" s="290"/>
      <c r="H15" s="272"/>
      <c r="I15" s="291"/>
      <c r="J15" s="296"/>
      <c r="K15" s="293"/>
      <c r="L15" s="294"/>
      <c r="M15" s="287"/>
      <c r="N15" s="298"/>
      <c r="O15" s="298"/>
      <c r="P15" s="299"/>
    </row>
    <row r="16">
      <c r="C16" s="272"/>
      <c r="D16" s="212"/>
      <c r="E16" s="212"/>
      <c r="F16" s="280"/>
      <c r="G16" s="281"/>
      <c r="H16" s="272"/>
      <c r="I16" s="291"/>
      <c r="J16" s="296"/>
      <c r="K16" s="309"/>
      <c r="L16" s="294"/>
      <c r="M16" s="287"/>
      <c r="N16" s="298"/>
      <c r="O16" s="298"/>
      <c r="P16" s="299"/>
    </row>
    <row r="17">
      <c r="C17" s="272"/>
      <c r="D17" s="288"/>
      <c r="E17" s="288"/>
      <c r="F17" s="289"/>
      <c r="G17" s="290"/>
      <c r="H17" s="272"/>
      <c r="I17" s="291"/>
      <c r="J17" s="296"/>
      <c r="K17" s="309"/>
      <c r="L17" s="294"/>
      <c r="M17" s="287"/>
      <c r="N17" s="298"/>
      <c r="O17" s="298"/>
      <c r="P17" s="299"/>
    </row>
    <row r="18">
      <c r="C18" s="272"/>
      <c r="D18" s="212"/>
      <c r="E18" s="212"/>
      <c r="F18" s="311"/>
      <c r="G18" s="281"/>
      <c r="H18" s="272"/>
      <c r="I18" s="291"/>
      <c r="J18" s="296"/>
      <c r="K18" s="293"/>
      <c r="L18" s="294"/>
      <c r="M18" s="287"/>
      <c r="N18" s="298"/>
      <c r="O18" s="298"/>
      <c r="P18" s="299"/>
    </row>
    <row r="19">
      <c r="C19" s="272"/>
      <c r="D19" s="288"/>
      <c r="E19" s="288"/>
      <c r="F19" s="312"/>
      <c r="G19" s="290"/>
      <c r="H19" s="272"/>
      <c r="I19" s="291"/>
      <c r="J19" s="272"/>
      <c r="O19" s="298"/>
      <c r="P19" s="299"/>
    </row>
    <row r="20">
      <c r="C20" s="272"/>
      <c r="D20" s="212"/>
      <c r="E20" s="212"/>
      <c r="F20" s="280"/>
      <c r="G20" s="281"/>
      <c r="H20" s="272"/>
      <c r="I20" s="291"/>
      <c r="J20" s="296"/>
      <c r="K20" s="174"/>
      <c r="L20" s="165"/>
      <c r="M20" s="165"/>
      <c r="N20" s="165"/>
      <c r="O20" s="298"/>
      <c r="P20" s="299"/>
    </row>
    <row r="21">
      <c r="C21" s="272"/>
      <c r="D21" s="288"/>
      <c r="E21" s="288"/>
      <c r="F21" s="289"/>
      <c r="G21" s="290"/>
      <c r="H21" s="272"/>
      <c r="I21" s="291"/>
      <c r="J21" s="296"/>
      <c r="K21" s="313" t="s">
        <v>536</v>
      </c>
      <c r="L21" s="152"/>
      <c r="M21" s="152"/>
      <c r="N21" s="157"/>
      <c r="O21" s="298"/>
      <c r="P21" s="299"/>
    </row>
    <row r="22">
      <c r="C22" s="272"/>
      <c r="D22" s="212"/>
      <c r="E22" s="212"/>
      <c r="F22" s="280"/>
      <c r="G22" s="281"/>
      <c r="H22" s="272"/>
      <c r="I22" s="291"/>
      <c r="J22" s="292"/>
      <c r="K22" s="314"/>
      <c r="L22" s="152"/>
      <c r="M22" s="152"/>
      <c r="N22" s="152"/>
      <c r="O22" s="298"/>
      <c r="P22" s="299"/>
    </row>
    <row r="23">
      <c r="C23" s="272"/>
      <c r="D23" s="288"/>
      <c r="E23" s="288"/>
      <c r="F23" s="289"/>
      <c r="G23" s="290"/>
      <c r="H23" s="272"/>
      <c r="I23" s="291"/>
      <c r="J23" s="296"/>
      <c r="K23" s="314"/>
      <c r="L23" s="152"/>
      <c r="M23" s="152"/>
      <c r="N23" s="152"/>
      <c r="O23" s="298"/>
      <c r="P23" s="315"/>
    </row>
    <row r="24">
      <c r="C24" s="272"/>
      <c r="D24" s="212"/>
      <c r="E24" s="212"/>
      <c r="F24" s="280"/>
      <c r="G24" s="281"/>
      <c r="H24" s="272"/>
      <c r="I24" s="291"/>
      <c r="J24" s="296"/>
      <c r="K24" s="314"/>
      <c r="L24" s="152"/>
      <c r="M24" s="152"/>
      <c r="N24" s="152"/>
      <c r="O24" s="298"/>
      <c r="P24" s="299"/>
    </row>
    <row r="25">
      <c r="C25" s="272"/>
      <c r="D25" s="316"/>
      <c r="E25" s="316"/>
      <c r="F25" s="317"/>
      <c r="G25" s="318"/>
      <c r="H25" s="272"/>
      <c r="I25" s="291"/>
      <c r="J25" s="296"/>
      <c r="K25" s="314"/>
      <c r="L25" s="157"/>
      <c r="M25" s="157"/>
      <c r="N25" s="157"/>
      <c r="O25" s="298"/>
      <c r="P25" s="299"/>
    </row>
    <row r="26">
      <c r="C26" s="272"/>
      <c r="D26" s="212"/>
      <c r="E26" s="212"/>
      <c r="F26" s="280"/>
      <c r="G26" s="281"/>
      <c r="H26" s="272"/>
      <c r="I26" s="291"/>
      <c r="J26" s="296"/>
      <c r="K26" s="314"/>
      <c r="L26" s="157"/>
      <c r="M26" s="157"/>
      <c r="N26" s="157"/>
      <c r="O26" s="298"/>
      <c r="P26" s="299"/>
    </row>
    <row r="27">
      <c r="C27" s="272"/>
      <c r="D27" s="288"/>
      <c r="E27" s="288"/>
      <c r="F27" s="289"/>
      <c r="G27" s="290"/>
      <c r="H27" s="272"/>
      <c r="I27" s="291"/>
      <c r="J27" s="296"/>
      <c r="K27" s="174"/>
      <c r="L27" s="165"/>
      <c r="M27" s="165"/>
      <c r="N27" s="165"/>
      <c r="O27" s="298"/>
      <c r="P27" s="299"/>
    </row>
    <row r="28">
      <c r="C28" s="272"/>
      <c r="D28" s="319"/>
      <c r="E28" s="319"/>
      <c r="F28" s="280"/>
      <c r="G28" s="281"/>
      <c r="H28" s="272"/>
      <c r="I28" s="291"/>
      <c r="J28" s="296"/>
      <c r="K28" s="313" t="s">
        <v>537</v>
      </c>
      <c r="L28" s="152"/>
      <c r="M28" s="157"/>
      <c r="N28" s="157"/>
      <c r="O28" s="298"/>
      <c r="P28" s="299"/>
    </row>
    <row r="29">
      <c r="C29" s="272"/>
      <c r="D29" s="288"/>
      <c r="E29" s="288"/>
      <c r="F29" s="289"/>
      <c r="G29" s="290"/>
      <c r="H29" s="272"/>
      <c r="I29" s="291"/>
      <c r="J29" s="296"/>
      <c r="K29" s="314"/>
      <c r="L29" s="152"/>
      <c r="M29" s="157"/>
      <c r="N29" s="157"/>
      <c r="O29" s="298"/>
      <c r="P29" s="299"/>
    </row>
    <row r="30">
      <c r="C30" s="272"/>
      <c r="D30" s="212"/>
      <c r="E30" s="212"/>
      <c r="F30" s="280"/>
      <c r="G30" s="281"/>
      <c r="H30" s="272"/>
      <c r="I30" s="291"/>
      <c r="J30" s="296"/>
      <c r="K30" s="276"/>
      <c r="N30" s="298"/>
      <c r="O30" s="298"/>
      <c r="P30" s="299"/>
    </row>
    <row r="31">
      <c r="C31" s="272"/>
      <c r="D31" s="288"/>
      <c r="E31" s="288"/>
      <c r="F31" s="289"/>
      <c r="G31" s="290"/>
      <c r="H31" s="272"/>
      <c r="I31" s="291"/>
      <c r="J31" s="296"/>
      <c r="K31" s="276"/>
      <c r="N31" s="298"/>
      <c r="O31" s="320"/>
      <c r="P31" s="299"/>
    </row>
    <row r="32">
      <c r="C32" s="272"/>
      <c r="D32" s="212"/>
      <c r="E32" s="212"/>
      <c r="F32" s="280"/>
      <c r="G32" s="281"/>
      <c r="H32" s="272"/>
      <c r="I32" s="291"/>
      <c r="J32" s="296"/>
      <c r="K32" s="276"/>
      <c r="N32" s="298"/>
      <c r="O32" s="298"/>
      <c r="P32" s="299"/>
    </row>
    <row r="33">
      <c r="C33" s="272"/>
      <c r="D33" s="288"/>
      <c r="E33" s="288"/>
      <c r="F33" s="289"/>
      <c r="G33" s="290"/>
      <c r="H33" s="272"/>
      <c r="I33" s="291"/>
      <c r="J33" s="296"/>
      <c r="K33" s="276"/>
      <c r="N33" s="298"/>
      <c r="O33" s="298"/>
      <c r="P33" s="299"/>
    </row>
    <row r="34">
      <c r="C34" s="272"/>
      <c r="D34" s="212"/>
      <c r="E34" s="212"/>
      <c r="F34" s="280"/>
      <c r="G34" s="281"/>
      <c r="H34" s="272"/>
      <c r="I34" s="291"/>
      <c r="J34" s="272"/>
      <c r="N34" s="298"/>
      <c r="O34" s="298"/>
      <c r="P34" s="299"/>
    </row>
    <row r="35">
      <c r="C35" s="272"/>
      <c r="D35" s="288"/>
      <c r="E35" s="288"/>
      <c r="F35" s="289"/>
      <c r="G35" s="290"/>
      <c r="H35" s="272"/>
      <c r="I35" s="291"/>
      <c r="J35" s="272"/>
      <c r="N35" s="298"/>
      <c r="O35" s="298"/>
      <c r="P35" s="299"/>
    </row>
    <row r="36">
      <c r="C36" s="272"/>
      <c r="D36" s="212"/>
      <c r="E36" s="212"/>
      <c r="F36" s="280"/>
      <c r="G36" s="281"/>
      <c r="H36" s="272"/>
      <c r="I36" s="321"/>
      <c r="J36" s="272"/>
      <c r="N36" s="298"/>
      <c r="O36" s="298"/>
      <c r="P36" s="299"/>
    </row>
    <row r="37">
      <c r="C37" s="272"/>
      <c r="D37" s="288"/>
      <c r="E37" s="288"/>
      <c r="F37" s="289"/>
      <c r="G37" s="290"/>
      <c r="H37" s="272"/>
      <c r="I37" s="321"/>
      <c r="J37" s="272"/>
      <c r="N37" s="298"/>
      <c r="O37" s="298"/>
      <c r="P37" s="299"/>
    </row>
    <row r="38">
      <c r="C38" s="272"/>
      <c r="D38" s="212"/>
      <c r="E38" s="212"/>
      <c r="F38" s="280"/>
      <c r="G38" s="281"/>
      <c r="H38" s="272"/>
      <c r="I38" s="291"/>
      <c r="J38" s="272"/>
      <c r="N38" s="298"/>
      <c r="O38" s="298"/>
      <c r="P38" s="299"/>
    </row>
    <row r="39">
      <c r="C39" s="272"/>
      <c r="D39" s="288"/>
      <c r="E39" s="288"/>
      <c r="F39" s="289"/>
      <c r="G39" s="290"/>
      <c r="H39" s="272"/>
      <c r="I39" s="291"/>
      <c r="J39" s="272"/>
      <c r="N39" s="298"/>
      <c r="O39" s="298"/>
      <c r="P39" s="299"/>
    </row>
    <row r="40">
      <c r="C40" s="272"/>
      <c r="D40" s="212"/>
      <c r="E40" s="212"/>
      <c r="F40" s="280"/>
      <c r="G40" s="281"/>
      <c r="H40" s="272"/>
      <c r="I40" s="291"/>
      <c r="J40" s="272"/>
      <c r="N40" s="298"/>
      <c r="O40" s="298"/>
      <c r="P40" s="299"/>
    </row>
    <row r="41">
      <c r="C41" s="272"/>
      <c r="D41" s="288"/>
      <c r="E41" s="288"/>
      <c r="F41" s="289"/>
      <c r="G41" s="290"/>
      <c r="H41" s="272"/>
      <c r="I41" s="291"/>
      <c r="J41" s="272"/>
      <c r="N41" s="298"/>
      <c r="O41" s="298"/>
      <c r="P41" s="299"/>
    </row>
    <row r="42">
      <c r="C42" s="272"/>
      <c r="D42" s="212"/>
      <c r="E42" s="212"/>
      <c r="F42" s="280"/>
      <c r="G42" s="281"/>
      <c r="H42" s="272"/>
      <c r="I42" s="291"/>
      <c r="J42" s="272"/>
      <c r="N42" s="298"/>
      <c r="O42" s="298"/>
      <c r="P42" s="299"/>
    </row>
    <row r="43">
      <c r="C43" s="272"/>
      <c r="D43" s="288"/>
      <c r="E43" s="288"/>
      <c r="F43" s="289"/>
      <c r="G43" s="290"/>
      <c r="H43" s="272"/>
      <c r="I43" s="321"/>
      <c r="J43" s="272"/>
      <c r="N43" s="298"/>
      <c r="O43" s="298"/>
      <c r="P43" s="299"/>
    </row>
    <row r="44">
      <c r="C44" s="272"/>
      <c r="D44" s="212"/>
      <c r="E44" s="212"/>
      <c r="F44" s="280"/>
      <c r="G44" s="281"/>
      <c r="H44" s="272"/>
      <c r="I44" s="291"/>
      <c r="J44" s="322"/>
      <c r="N44" s="298"/>
      <c r="O44" s="298"/>
      <c r="P44" s="299"/>
    </row>
    <row r="45">
      <c r="C45" s="272"/>
      <c r="D45" s="323"/>
      <c r="E45" s="323"/>
      <c r="F45" s="289"/>
      <c r="G45" s="290"/>
      <c r="H45" s="272"/>
      <c r="I45" s="291"/>
      <c r="J45" s="272"/>
      <c r="N45" s="298"/>
      <c r="O45" s="298"/>
      <c r="P45" s="299"/>
    </row>
    <row r="46">
      <c r="C46" s="272"/>
      <c r="D46" s="212"/>
      <c r="E46" s="212"/>
      <c r="F46" s="280"/>
      <c r="G46" s="281"/>
      <c r="H46" s="272"/>
      <c r="J46" s="272"/>
      <c r="N46" s="298"/>
      <c r="O46" s="298"/>
      <c r="P46" s="299"/>
    </row>
    <row r="47">
      <c r="C47" s="272"/>
      <c r="D47" s="288"/>
      <c r="E47" s="288"/>
      <c r="F47" s="289"/>
      <c r="G47" s="290"/>
      <c r="H47" s="272"/>
      <c r="J47" s="272"/>
      <c r="N47" s="298"/>
      <c r="O47" s="298"/>
      <c r="P47" s="299"/>
    </row>
    <row r="48">
      <c r="C48" s="272"/>
      <c r="D48" s="212"/>
      <c r="E48" s="212"/>
      <c r="F48" s="280"/>
      <c r="G48" s="281"/>
      <c r="H48" s="272"/>
      <c r="J48" s="272"/>
      <c r="N48" s="298"/>
      <c r="O48" s="298"/>
      <c r="P48" s="299"/>
    </row>
    <row r="49">
      <c r="C49" s="272"/>
      <c r="D49" s="288"/>
      <c r="E49" s="288"/>
      <c r="F49" s="289"/>
      <c r="G49" s="290"/>
      <c r="H49" s="272"/>
      <c r="J49" s="272"/>
      <c r="N49" s="298"/>
      <c r="O49" s="298"/>
      <c r="P49" s="299"/>
    </row>
    <row r="50">
      <c r="C50" s="272"/>
      <c r="D50" s="212"/>
      <c r="E50" s="212"/>
      <c r="F50" s="280"/>
      <c r="G50" s="281"/>
      <c r="H50" s="272"/>
      <c r="J50" s="272"/>
    </row>
    <row r="51">
      <c r="C51" s="272"/>
      <c r="D51" s="288"/>
      <c r="E51" s="288"/>
      <c r="F51" s="289"/>
      <c r="G51" s="290"/>
      <c r="H51" s="272"/>
      <c r="J51" s="272"/>
    </row>
    <row r="52">
      <c r="C52" s="272"/>
      <c r="D52" s="212"/>
      <c r="E52" s="212"/>
      <c r="F52" s="280"/>
      <c r="G52" s="281"/>
      <c r="H52" s="272"/>
      <c r="J52" s="272"/>
    </row>
    <row r="53">
      <c r="C53" s="272"/>
      <c r="D53" s="323"/>
      <c r="E53" s="288"/>
      <c r="F53" s="312"/>
      <c r="G53" s="304"/>
      <c r="H53" s="272"/>
      <c r="J53" s="272"/>
    </row>
    <row r="54">
      <c r="C54" s="272"/>
      <c r="D54" s="212"/>
      <c r="E54" s="212"/>
      <c r="F54" s="311"/>
      <c r="G54" s="324"/>
      <c r="H54" s="272"/>
      <c r="J54" s="272"/>
    </row>
    <row r="55">
      <c r="C55" s="272"/>
      <c r="D55" s="288"/>
      <c r="E55" s="288"/>
      <c r="F55" s="312"/>
      <c r="G55" s="304"/>
      <c r="H55" s="272"/>
      <c r="J55" s="272"/>
    </row>
    <row r="56">
      <c r="C56" s="272"/>
      <c r="D56" s="288"/>
      <c r="E56" s="288"/>
      <c r="F56" s="289"/>
      <c r="G56" s="290"/>
      <c r="H56" s="272"/>
      <c r="J56" s="272"/>
    </row>
    <row r="57">
      <c r="C57" s="272"/>
      <c r="D57" s="212"/>
      <c r="E57" s="212"/>
      <c r="F57" s="280"/>
      <c r="G57" s="281"/>
      <c r="H57" s="272"/>
      <c r="J57" s="272"/>
    </row>
    <row r="58">
      <c r="C58" s="272"/>
      <c r="D58" s="288"/>
      <c r="E58" s="288"/>
      <c r="F58" s="289"/>
      <c r="G58" s="290"/>
      <c r="H58" s="272"/>
      <c r="J58" s="272"/>
    </row>
    <row r="59">
      <c r="C59" s="272"/>
      <c r="D59" s="212"/>
      <c r="E59" s="212"/>
      <c r="F59" s="280"/>
      <c r="G59" s="281"/>
      <c r="H59" s="272"/>
      <c r="J59" s="272"/>
    </row>
    <row r="60">
      <c r="C60" s="272"/>
      <c r="D60" s="288"/>
      <c r="E60" s="288"/>
      <c r="F60" s="289"/>
      <c r="G60" s="290"/>
      <c r="H60" s="272"/>
      <c r="J60" s="272"/>
    </row>
    <row r="61">
      <c r="C61" s="272"/>
      <c r="D61" s="212"/>
      <c r="E61" s="212"/>
      <c r="F61" s="280"/>
      <c r="G61" s="281"/>
      <c r="H61" s="272"/>
      <c r="J61" s="272"/>
    </row>
    <row r="62">
      <c r="C62" s="272"/>
      <c r="D62" s="325"/>
      <c r="E62" s="325"/>
      <c r="F62" s="290"/>
      <c r="G62" s="290"/>
      <c r="H62" s="326"/>
      <c r="I62" s="46"/>
      <c r="J62" s="272"/>
    </row>
    <row r="63">
      <c r="C63" s="272"/>
      <c r="H63" s="326"/>
      <c r="I63" s="67"/>
      <c r="J63" s="272"/>
    </row>
    <row r="64">
      <c r="C64" s="272"/>
      <c r="H64" s="272"/>
      <c r="J64" s="272"/>
    </row>
    <row r="65">
      <c r="C65" s="272"/>
      <c r="H65" s="272"/>
      <c r="J65" s="272"/>
    </row>
    <row r="66">
      <c r="C66" s="272"/>
      <c r="H66" s="272"/>
      <c r="J66" s="272"/>
    </row>
    <row r="67">
      <c r="C67" s="272"/>
      <c r="H67" s="272"/>
      <c r="J67" s="272"/>
    </row>
    <row r="68">
      <c r="C68" s="272"/>
      <c r="H68" s="272"/>
      <c r="J68" s="272"/>
    </row>
    <row r="69">
      <c r="C69" s="272"/>
      <c r="H69" s="272"/>
      <c r="J69" s="272"/>
    </row>
    <row r="70">
      <c r="C70" s="272"/>
      <c r="H70" s="272"/>
      <c r="J70" s="272"/>
    </row>
    <row r="71">
      <c r="C71" s="272"/>
      <c r="H71" s="272"/>
      <c r="J71" s="272"/>
    </row>
    <row r="72">
      <c r="C72" s="272"/>
      <c r="H72" s="272"/>
      <c r="J72" s="272"/>
    </row>
    <row r="73">
      <c r="C73" s="272"/>
      <c r="H73" s="272"/>
      <c r="J73" s="272"/>
    </row>
    <row r="74">
      <c r="C74" s="272"/>
      <c r="H74" s="272"/>
      <c r="J74" s="272"/>
    </row>
    <row r="75">
      <c r="C75" s="272"/>
      <c r="H75" s="272"/>
      <c r="J75" s="272"/>
    </row>
    <row r="76">
      <c r="C76" s="272"/>
      <c r="H76" s="272"/>
      <c r="J76" s="272"/>
    </row>
    <row r="77">
      <c r="C77" s="272"/>
      <c r="H77" s="272"/>
      <c r="J77" s="272"/>
    </row>
    <row r="78">
      <c r="C78" s="272"/>
      <c r="H78" s="272"/>
      <c r="J78" s="272"/>
    </row>
    <row r="79">
      <c r="C79" s="272"/>
      <c r="H79" s="272"/>
      <c r="J79" s="272"/>
    </row>
    <row r="80">
      <c r="C80" s="272"/>
      <c r="H80" s="272"/>
      <c r="J80" s="272"/>
    </row>
    <row r="81">
      <c r="C81" s="272"/>
      <c r="H81" s="272"/>
      <c r="J81" s="272"/>
    </row>
    <row r="82">
      <c r="C82" s="272"/>
      <c r="H82" s="272"/>
      <c r="J82" s="272"/>
    </row>
    <row r="83">
      <c r="C83" s="272"/>
      <c r="H83" s="272"/>
      <c r="J83" s="272"/>
    </row>
    <row r="84">
      <c r="C84" s="272"/>
      <c r="H84" s="272"/>
      <c r="J84" s="272"/>
    </row>
    <row r="85">
      <c r="C85" s="272"/>
      <c r="H85" s="272"/>
      <c r="J85" s="272"/>
    </row>
    <row r="86">
      <c r="C86" s="272"/>
      <c r="H86" s="272"/>
      <c r="J86" s="272"/>
    </row>
    <row r="87">
      <c r="C87" s="272"/>
      <c r="H87" s="272"/>
      <c r="J87" s="272"/>
    </row>
    <row r="88">
      <c r="C88" s="272"/>
      <c r="H88" s="272"/>
      <c r="J88" s="272"/>
    </row>
    <row r="89">
      <c r="C89" s="272"/>
      <c r="H89" s="272"/>
      <c r="J89" s="272"/>
    </row>
    <row r="90">
      <c r="C90" s="272"/>
      <c r="H90" s="272"/>
      <c r="J90" s="272"/>
    </row>
    <row r="91">
      <c r="C91" s="272"/>
      <c r="H91" s="272"/>
      <c r="J91" s="272"/>
    </row>
    <row r="92">
      <c r="C92" s="272"/>
      <c r="H92" s="272"/>
      <c r="J92" s="272"/>
    </row>
    <row r="93">
      <c r="C93" s="272"/>
      <c r="H93" s="272"/>
      <c r="J93" s="272"/>
    </row>
    <row r="94">
      <c r="C94" s="272"/>
      <c r="H94" s="272"/>
      <c r="J94" s="272"/>
    </row>
    <row r="95">
      <c r="C95" s="272"/>
      <c r="H95" s="272"/>
      <c r="J95" s="272"/>
    </row>
    <row r="96">
      <c r="C96" s="272"/>
      <c r="H96" s="272"/>
      <c r="J96" s="272"/>
    </row>
    <row r="97">
      <c r="C97" s="272"/>
      <c r="H97" s="272"/>
      <c r="J97" s="272"/>
    </row>
    <row r="98">
      <c r="C98" s="272"/>
      <c r="H98" s="272"/>
      <c r="J98" s="272"/>
    </row>
    <row r="99">
      <c r="C99" s="272"/>
      <c r="H99" s="272"/>
      <c r="J99" s="272"/>
    </row>
    <row r="100">
      <c r="C100" s="272"/>
      <c r="H100" s="272"/>
      <c r="J100" s="272"/>
    </row>
    <row r="101">
      <c r="C101" s="272"/>
      <c r="H101" s="272"/>
      <c r="J101" s="272"/>
    </row>
    <row r="102">
      <c r="C102" s="272"/>
      <c r="H102" s="272"/>
      <c r="J102" s="272"/>
    </row>
    <row r="103">
      <c r="C103" s="272"/>
      <c r="H103" s="272"/>
      <c r="J103" s="272"/>
    </row>
    <row r="104">
      <c r="C104" s="272"/>
      <c r="H104" s="272"/>
      <c r="J104" s="272"/>
    </row>
    <row r="105">
      <c r="C105" s="272"/>
      <c r="H105" s="272"/>
      <c r="J105" s="272"/>
    </row>
    <row r="106">
      <c r="C106" s="272"/>
      <c r="H106" s="272"/>
      <c r="J106" s="272"/>
    </row>
    <row r="107">
      <c r="C107" s="272"/>
      <c r="H107" s="272"/>
      <c r="J107" s="272"/>
    </row>
    <row r="108">
      <c r="C108" s="272"/>
      <c r="H108" s="272"/>
      <c r="J108" s="272"/>
    </row>
    <row r="109">
      <c r="C109" s="272"/>
      <c r="H109" s="272"/>
      <c r="J109" s="272"/>
    </row>
    <row r="110">
      <c r="C110" s="272"/>
      <c r="H110" s="272"/>
      <c r="J110" s="272"/>
    </row>
    <row r="111">
      <c r="C111" s="272"/>
      <c r="H111" s="272"/>
      <c r="J111" s="272"/>
      <c r="K111" s="276"/>
    </row>
    <row r="112">
      <c r="C112" s="272"/>
      <c r="H112" s="272"/>
      <c r="J112" s="272"/>
      <c r="K112" s="276"/>
    </row>
    <row r="113">
      <c r="C113" s="272"/>
      <c r="H113" s="272"/>
      <c r="J113" s="272"/>
      <c r="K113" s="276"/>
    </row>
    <row r="114">
      <c r="C114" s="272"/>
      <c r="H114" s="272"/>
      <c r="J114" s="272"/>
      <c r="K114" s="276"/>
    </row>
    <row r="115">
      <c r="C115" s="272"/>
      <c r="H115" s="272"/>
      <c r="J115" s="272"/>
      <c r="K115" s="276"/>
    </row>
    <row r="116">
      <c r="C116" s="272"/>
      <c r="H116" s="272"/>
      <c r="J116" s="272"/>
      <c r="K116" s="276"/>
    </row>
    <row r="117">
      <c r="C117" s="272"/>
      <c r="H117" s="272"/>
      <c r="J117" s="272"/>
      <c r="K117" s="276"/>
    </row>
    <row r="118">
      <c r="C118" s="272"/>
      <c r="H118" s="272"/>
      <c r="J118" s="272"/>
      <c r="K118" s="276"/>
    </row>
    <row r="119">
      <c r="C119" s="272"/>
      <c r="H119" s="272"/>
      <c r="J119" s="272"/>
      <c r="K119" s="276"/>
    </row>
    <row r="120">
      <c r="C120" s="272"/>
      <c r="H120" s="272"/>
      <c r="J120" s="272"/>
      <c r="K120" s="276"/>
    </row>
    <row r="121">
      <c r="C121" s="272"/>
      <c r="H121" s="272"/>
      <c r="J121" s="272"/>
      <c r="K121" s="276"/>
    </row>
    <row r="122">
      <c r="C122" s="272"/>
      <c r="H122" s="272"/>
      <c r="J122" s="272"/>
      <c r="K122" s="276"/>
    </row>
    <row r="123">
      <c r="C123" s="272"/>
      <c r="H123" s="272"/>
      <c r="J123" s="272"/>
      <c r="K123" s="276"/>
    </row>
    <row r="124">
      <c r="C124" s="272"/>
      <c r="H124" s="272"/>
      <c r="J124" s="272"/>
      <c r="K124" s="276"/>
    </row>
    <row r="125">
      <c r="C125" s="272"/>
      <c r="H125" s="272"/>
      <c r="J125" s="272"/>
      <c r="K125" s="276"/>
    </row>
    <row r="126">
      <c r="C126" s="272"/>
      <c r="H126" s="272"/>
      <c r="J126" s="272"/>
      <c r="K126" s="276"/>
    </row>
    <row r="127">
      <c r="C127" s="272"/>
      <c r="H127" s="272"/>
      <c r="J127" s="272"/>
      <c r="K127" s="276"/>
    </row>
    <row r="128">
      <c r="C128" s="272"/>
      <c r="H128" s="272"/>
      <c r="J128" s="272"/>
      <c r="K128" s="276"/>
    </row>
    <row r="129">
      <c r="C129" s="272"/>
      <c r="H129" s="272"/>
      <c r="J129" s="272"/>
      <c r="K129" s="276"/>
    </row>
    <row r="130">
      <c r="C130" s="272"/>
      <c r="H130" s="272"/>
      <c r="J130" s="272"/>
      <c r="K130" s="276"/>
    </row>
    <row r="131">
      <c r="C131" s="272"/>
      <c r="H131" s="272"/>
      <c r="J131" s="272"/>
      <c r="K131" s="276"/>
    </row>
    <row r="132">
      <c r="C132" s="272"/>
      <c r="H132" s="272"/>
      <c r="J132" s="272"/>
      <c r="K132" s="276"/>
    </row>
    <row r="133">
      <c r="C133" s="272"/>
      <c r="H133" s="272"/>
      <c r="J133" s="272"/>
      <c r="K133" s="276"/>
    </row>
    <row r="134">
      <c r="C134" s="272"/>
      <c r="H134" s="272"/>
      <c r="J134" s="272"/>
      <c r="K134" s="276"/>
    </row>
    <row r="135">
      <c r="C135" s="272"/>
      <c r="H135" s="272"/>
      <c r="J135" s="272"/>
      <c r="K135" s="276"/>
    </row>
    <row r="136">
      <c r="C136" s="272"/>
      <c r="H136" s="272"/>
      <c r="J136" s="272"/>
      <c r="K136" s="276"/>
    </row>
    <row r="137">
      <c r="C137" s="272"/>
      <c r="H137" s="272"/>
      <c r="J137" s="272"/>
      <c r="K137" s="276"/>
    </row>
    <row r="138">
      <c r="C138" s="272"/>
      <c r="H138" s="272"/>
      <c r="J138" s="272"/>
      <c r="K138" s="276"/>
    </row>
    <row r="139">
      <c r="C139" s="272"/>
      <c r="H139" s="272"/>
      <c r="J139" s="272"/>
      <c r="K139" s="276"/>
    </row>
    <row r="140">
      <c r="C140" s="272"/>
      <c r="H140" s="272"/>
      <c r="J140" s="272"/>
      <c r="K140" s="276"/>
    </row>
    <row r="141">
      <c r="C141" s="272"/>
      <c r="H141" s="272"/>
      <c r="J141" s="272"/>
      <c r="K141" s="276"/>
    </row>
    <row r="142">
      <c r="C142" s="272"/>
      <c r="H142" s="272"/>
      <c r="J142" s="272"/>
      <c r="K142" s="276"/>
    </row>
    <row r="143">
      <c r="C143" s="272"/>
      <c r="H143" s="272"/>
      <c r="J143" s="272"/>
      <c r="K143" s="276"/>
    </row>
    <row r="144">
      <c r="C144" s="272"/>
      <c r="H144" s="272"/>
      <c r="J144" s="272"/>
      <c r="K144" s="276"/>
    </row>
    <row r="145">
      <c r="C145" s="272"/>
      <c r="H145" s="272"/>
      <c r="J145" s="272"/>
      <c r="K145" s="276"/>
    </row>
    <row r="146">
      <c r="C146" s="272"/>
      <c r="H146" s="272"/>
      <c r="J146" s="272"/>
      <c r="K146" s="276"/>
    </row>
    <row r="147">
      <c r="C147" s="272"/>
      <c r="H147" s="272"/>
      <c r="J147" s="272"/>
      <c r="K147" s="276"/>
    </row>
    <row r="148">
      <c r="C148" s="272"/>
      <c r="H148" s="272"/>
      <c r="J148" s="272"/>
      <c r="K148" s="276"/>
    </row>
    <row r="149">
      <c r="C149" s="272"/>
      <c r="H149" s="272"/>
      <c r="J149" s="272"/>
      <c r="K149" s="276"/>
    </row>
    <row r="150">
      <c r="C150" s="272"/>
      <c r="H150" s="272"/>
      <c r="J150" s="272"/>
      <c r="K150" s="276"/>
    </row>
    <row r="151">
      <c r="C151" s="272"/>
      <c r="H151" s="272"/>
      <c r="J151" s="272"/>
      <c r="K151" s="276"/>
    </row>
    <row r="152">
      <c r="C152" s="272"/>
      <c r="H152" s="272"/>
      <c r="J152" s="272"/>
      <c r="K152" s="276"/>
    </row>
    <row r="153">
      <c r="C153" s="272"/>
      <c r="H153" s="272"/>
      <c r="J153" s="272"/>
      <c r="K153" s="276"/>
    </row>
    <row r="154">
      <c r="C154" s="272"/>
      <c r="H154" s="272"/>
      <c r="J154" s="272"/>
      <c r="K154" s="276"/>
    </row>
    <row r="155">
      <c r="C155" s="272"/>
      <c r="H155" s="272"/>
      <c r="J155" s="272"/>
      <c r="K155" s="276"/>
    </row>
    <row r="156">
      <c r="C156" s="272"/>
      <c r="H156" s="272"/>
      <c r="J156" s="272"/>
      <c r="K156" s="276"/>
    </row>
    <row r="157">
      <c r="C157" s="272"/>
      <c r="H157" s="272"/>
      <c r="J157" s="272"/>
      <c r="K157" s="276"/>
    </row>
    <row r="158">
      <c r="C158" s="272"/>
      <c r="H158" s="272"/>
      <c r="J158" s="272"/>
      <c r="K158" s="276"/>
    </row>
    <row r="159">
      <c r="C159" s="272"/>
      <c r="H159" s="272"/>
      <c r="J159" s="272"/>
      <c r="K159" s="276"/>
    </row>
    <row r="160">
      <c r="C160" s="272"/>
      <c r="H160" s="272"/>
      <c r="J160" s="272"/>
      <c r="K160" s="276"/>
    </row>
    <row r="161">
      <c r="C161" s="272"/>
      <c r="H161" s="272"/>
      <c r="J161" s="272"/>
      <c r="K161" s="276"/>
    </row>
    <row r="162">
      <c r="C162" s="272"/>
      <c r="H162" s="272"/>
      <c r="J162" s="272"/>
      <c r="K162" s="276"/>
    </row>
    <row r="163">
      <c r="C163" s="272"/>
      <c r="H163" s="272"/>
      <c r="J163" s="272"/>
      <c r="K163" s="276"/>
    </row>
    <row r="164">
      <c r="C164" s="272"/>
      <c r="H164" s="272"/>
      <c r="J164" s="272"/>
      <c r="K164" s="276"/>
    </row>
    <row r="165">
      <c r="C165" s="272"/>
      <c r="H165" s="272"/>
      <c r="J165" s="272"/>
      <c r="K165" s="276"/>
    </row>
    <row r="166">
      <c r="C166" s="272"/>
      <c r="H166" s="272"/>
      <c r="J166" s="272"/>
      <c r="K166" s="276"/>
    </row>
    <row r="167">
      <c r="C167" s="272"/>
      <c r="H167" s="272"/>
      <c r="J167" s="272"/>
      <c r="K167" s="276"/>
    </row>
    <row r="168">
      <c r="C168" s="272"/>
      <c r="H168" s="272"/>
      <c r="J168" s="272"/>
      <c r="K168" s="276"/>
    </row>
    <row r="169">
      <c r="C169" s="272"/>
      <c r="H169" s="272"/>
      <c r="J169" s="272"/>
      <c r="K169" s="276"/>
    </row>
    <row r="170">
      <c r="C170" s="272"/>
      <c r="H170" s="272"/>
      <c r="J170" s="272"/>
      <c r="K170" s="276"/>
    </row>
    <row r="171">
      <c r="C171" s="272"/>
      <c r="H171" s="272"/>
      <c r="J171" s="272"/>
      <c r="K171" s="276"/>
    </row>
    <row r="172">
      <c r="C172" s="272"/>
      <c r="H172" s="272"/>
      <c r="J172" s="272"/>
      <c r="K172" s="276"/>
    </row>
    <row r="173">
      <c r="C173" s="272"/>
      <c r="H173" s="272"/>
      <c r="J173" s="272"/>
      <c r="K173" s="276"/>
    </row>
    <row r="174">
      <c r="C174" s="272"/>
      <c r="H174" s="272"/>
      <c r="J174" s="272"/>
      <c r="K174" s="276"/>
    </row>
    <row r="175">
      <c r="C175" s="272"/>
      <c r="H175" s="272"/>
      <c r="J175" s="272"/>
      <c r="K175" s="276"/>
    </row>
    <row r="176">
      <c r="C176" s="272"/>
      <c r="H176" s="272"/>
      <c r="J176" s="272"/>
      <c r="K176" s="276"/>
    </row>
    <row r="177">
      <c r="C177" s="272"/>
      <c r="H177" s="272"/>
      <c r="J177" s="272"/>
      <c r="K177" s="276"/>
    </row>
    <row r="178">
      <c r="C178" s="272"/>
      <c r="H178" s="272"/>
      <c r="J178" s="272"/>
      <c r="K178" s="276"/>
    </row>
    <row r="179">
      <c r="C179" s="272"/>
      <c r="H179" s="272"/>
      <c r="J179" s="272"/>
      <c r="K179" s="276"/>
    </row>
    <row r="180">
      <c r="C180" s="272"/>
      <c r="H180" s="272"/>
      <c r="J180" s="272"/>
      <c r="K180" s="276"/>
    </row>
    <row r="181">
      <c r="C181" s="272"/>
      <c r="H181" s="272"/>
      <c r="J181" s="272"/>
      <c r="K181" s="276"/>
    </row>
    <row r="182">
      <c r="C182" s="272"/>
      <c r="H182" s="272"/>
      <c r="J182" s="272"/>
      <c r="K182" s="276"/>
    </row>
    <row r="183">
      <c r="C183" s="272"/>
      <c r="H183" s="272"/>
      <c r="J183" s="272"/>
      <c r="K183" s="276"/>
    </row>
    <row r="184">
      <c r="C184" s="272"/>
      <c r="H184" s="272"/>
      <c r="J184" s="272"/>
      <c r="K184" s="276"/>
    </row>
    <row r="185">
      <c r="C185" s="272"/>
      <c r="H185" s="272"/>
      <c r="J185" s="272"/>
      <c r="K185" s="276"/>
    </row>
    <row r="186">
      <c r="C186" s="272"/>
      <c r="H186" s="272"/>
      <c r="J186" s="272"/>
      <c r="K186" s="276"/>
    </row>
    <row r="187">
      <c r="C187" s="272"/>
      <c r="H187" s="272"/>
      <c r="J187" s="272"/>
      <c r="K187" s="276"/>
    </row>
    <row r="188">
      <c r="C188" s="272"/>
      <c r="H188" s="272"/>
      <c r="J188" s="272"/>
      <c r="K188" s="276"/>
    </row>
    <row r="189">
      <c r="C189" s="272"/>
      <c r="H189" s="272"/>
      <c r="J189" s="272"/>
      <c r="K189" s="276"/>
    </row>
    <row r="190">
      <c r="C190" s="272"/>
      <c r="H190" s="272"/>
      <c r="J190" s="272"/>
      <c r="K190" s="276"/>
    </row>
    <row r="191">
      <c r="C191" s="272"/>
      <c r="H191" s="272"/>
      <c r="J191" s="272"/>
      <c r="K191" s="276"/>
    </row>
    <row r="192">
      <c r="C192" s="272"/>
      <c r="H192" s="272"/>
      <c r="J192" s="272"/>
      <c r="K192" s="276"/>
    </row>
    <row r="193">
      <c r="C193" s="272"/>
      <c r="H193" s="272"/>
      <c r="J193" s="272"/>
      <c r="K193" s="276"/>
    </row>
    <row r="194">
      <c r="C194" s="272"/>
      <c r="H194" s="272"/>
      <c r="J194" s="272"/>
      <c r="K194" s="276"/>
    </row>
    <row r="195">
      <c r="C195" s="272"/>
      <c r="H195" s="272"/>
      <c r="J195" s="272"/>
      <c r="K195" s="276"/>
    </row>
    <row r="196">
      <c r="C196" s="272"/>
      <c r="H196" s="272"/>
      <c r="J196" s="272"/>
      <c r="K196" s="276"/>
    </row>
    <row r="197">
      <c r="C197" s="272"/>
      <c r="H197" s="272"/>
      <c r="J197" s="272"/>
      <c r="K197" s="276"/>
    </row>
    <row r="198">
      <c r="C198" s="272"/>
      <c r="H198" s="272"/>
      <c r="J198" s="272"/>
      <c r="K198" s="276"/>
    </row>
    <row r="199">
      <c r="C199" s="272"/>
      <c r="H199" s="272"/>
      <c r="J199" s="272"/>
      <c r="K199" s="276"/>
    </row>
    <row r="200">
      <c r="C200" s="272"/>
      <c r="H200" s="272"/>
      <c r="J200" s="272"/>
      <c r="K200" s="276"/>
    </row>
    <row r="201">
      <c r="C201" s="272"/>
      <c r="H201" s="272"/>
      <c r="J201" s="272"/>
      <c r="K201" s="276"/>
    </row>
    <row r="202">
      <c r="C202" s="272"/>
      <c r="H202" s="272"/>
      <c r="J202" s="272"/>
      <c r="K202" s="276"/>
    </row>
    <row r="203">
      <c r="C203" s="272"/>
      <c r="H203" s="272"/>
      <c r="J203" s="272"/>
      <c r="K203" s="276"/>
    </row>
    <row r="204">
      <c r="C204" s="272"/>
      <c r="H204" s="272"/>
      <c r="J204" s="272"/>
      <c r="K204" s="276"/>
    </row>
    <row r="205">
      <c r="C205" s="272"/>
      <c r="H205" s="272"/>
      <c r="J205" s="272"/>
      <c r="K205" s="276"/>
    </row>
    <row r="206">
      <c r="C206" s="272"/>
      <c r="H206" s="272"/>
      <c r="J206" s="272"/>
      <c r="K206" s="276"/>
    </row>
    <row r="207">
      <c r="C207" s="272"/>
      <c r="H207" s="272"/>
      <c r="J207" s="272"/>
      <c r="K207" s="276"/>
    </row>
    <row r="208">
      <c r="C208" s="272"/>
      <c r="H208" s="272"/>
      <c r="J208" s="272"/>
      <c r="K208" s="276"/>
    </row>
    <row r="209">
      <c r="C209" s="272"/>
      <c r="H209" s="272"/>
      <c r="J209" s="272"/>
      <c r="K209" s="276"/>
    </row>
    <row r="210">
      <c r="C210" s="272"/>
      <c r="H210" s="272"/>
      <c r="J210" s="272"/>
      <c r="K210" s="276"/>
    </row>
    <row r="211">
      <c r="C211" s="272"/>
      <c r="H211" s="272"/>
      <c r="J211" s="272"/>
      <c r="K211" s="276"/>
    </row>
    <row r="212">
      <c r="C212" s="272"/>
      <c r="H212" s="272"/>
      <c r="J212" s="272"/>
      <c r="K212" s="276"/>
    </row>
    <row r="213">
      <c r="C213" s="272"/>
      <c r="H213" s="272"/>
      <c r="J213" s="272"/>
      <c r="K213" s="276"/>
    </row>
    <row r="214">
      <c r="C214" s="272"/>
      <c r="H214" s="272"/>
      <c r="J214" s="272"/>
      <c r="K214" s="276"/>
    </row>
    <row r="215">
      <c r="C215" s="272"/>
      <c r="H215" s="272"/>
      <c r="J215" s="272"/>
      <c r="K215" s="276"/>
    </row>
    <row r="216">
      <c r="C216" s="272"/>
      <c r="H216" s="272"/>
      <c r="J216" s="272"/>
      <c r="K216" s="276"/>
    </row>
    <row r="217">
      <c r="C217" s="272"/>
      <c r="H217" s="272"/>
      <c r="J217" s="272"/>
      <c r="K217" s="276"/>
    </row>
    <row r="218">
      <c r="C218" s="272"/>
      <c r="H218" s="272"/>
      <c r="J218" s="272"/>
      <c r="K218" s="276"/>
    </row>
    <row r="219">
      <c r="C219" s="272"/>
      <c r="H219" s="272"/>
      <c r="J219" s="272"/>
      <c r="K219" s="276"/>
    </row>
    <row r="220">
      <c r="C220" s="272"/>
      <c r="H220" s="272"/>
      <c r="J220" s="272"/>
      <c r="K220" s="276"/>
    </row>
    <row r="221">
      <c r="C221" s="272"/>
      <c r="H221" s="272"/>
      <c r="J221" s="272"/>
      <c r="K221" s="276"/>
    </row>
    <row r="222">
      <c r="C222" s="272"/>
      <c r="H222" s="272"/>
      <c r="J222" s="272"/>
      <c r="K222" s="276"/>
    </row>
    <row r="223">
      <c r="C223" s="272"/>
      <c r="H223" s="272"/>
      <c r="J223" s="272"/>
      <c r="K223" s="276"/>
    </row>
    <row r="224">
      <c r="C224" s="272"/>
      <c r="H224" s="272"/>
      <c r="J224" s="272"/>
      <c r="K224" s="276"/>
    </row>
    <row r="225">
      <c r="C225" s="272"/>
      <c r="H225" s="272"/>
      <c r="J225" s="272"/>
      <c r="K225" s="276"/>
    </row>
    <row r="226">
      <c r="C226" s="272"/>
      <c r="H226" s="272"/>
      <c r="J226" s="272"/>
      <c r="K226" s="276"/>
    </row>
    <row r="227">
      <c r="C227" s="272"/>
      <c r="H227" s="272"/>
      <c r="J227" s="272"/>
      <c r="K227" s="276"/>
    </row>
    <row r="228">
      <c r="C228" s="272"/>
      <c r="H228" s="272"/>
      <c r="J228" s="272"/>
      <c r="K228" s="276"/>
    </row>
    <row r="229">
      <c r="C229" s="272"/>
      <c r="H229" s="272"/>
      <c r="J229" s="272"/>
      <c r="K229" s="276"/>
    </row>
    <row r="230">
      <c r="C230" s="272"/>
      <c r="H230" s="272"/>
      <c r="J230" s="272"/>
      <c r="K230" s="276"/>
    </row>
    <row r="231">
      <c r="C231" s="272"/>
      <c r="H231" s="272"/>
      <c r="J231" s="272"/>
      <c r="K231" s="276"/>
    </row>
    <row r="232">
      <c r="C232" s="272"/>
      <c r="H232" s="272"/>
      <c r="J232" s="272"/>
      <c r="K232" s="276"/>
    </row>
    <row r="233">
      <c r="C233" s="272"/>
      <c r="H233" s="272"/>
      <c r="J233" s="272"/>
      <c r="K233" s="276"/>
    </row>
    <row r="234">
      <c r="C234" s="272"/>
      <c r="H234" s="272"/>
      <c r="J234" s="272"/>
      <c r="K234" s="276"/>
    </row>
    <row r="235">
      <c r="C235" s="272"/>
      <c r="H235" s="272"/>
      <c r="J235" s="272"/>
      <c r="K235" s="276"/>
    </row>
    <row r="236">
      <c r="C236" s="272"/>
      <c r="H236" s="272"/>
      <c r="J236" s="272"/>
      <c r="K236" s="276"/>
    </row>
    <row r="237">
      <c r="C237" s="272"/>
      <c r="H237" s="272"/>
      <c r="J237" s="272"/>
      <c r="K237" s="276"/>
    </row>
    <row r="238">
      <c r="C238" s="272"/>
      <c r="H238" s="272"/>
      <c r="J238" s="272"/>
      <c r="K238" s="276"/>
    </row>
    <row r="239">
      <c r="C239" s="272"/>
      <c r="H239" s="272"/>
      <c r="J239" s="272"/>
      <c r="K239" s="276"/>
    </row>
    <row r="240">
      <c r="C240" s="272"/>
      <c r="H240" s="272"/>
      <c r="J240" s="272"/>
      <c r="K240" s="276"/>
    </row>
    <row r="241">
      <c r="C241" s="272"/>
      <c r="H241" s="272"/>
      <c r="J241" s="272"/>
      <c r="K241" s="276"/>
    </row>
    <row r="242">
      <c r="C242" s="272"/>
      <c r="H242" s="272"/>
      <c r="J242" s="272"/>
      <c r="K242" s="276"/>
    </row>
    <row r="243">
      <c r="C243" s="272"/>
      <c r="H243" s="272"/>
      <c r="J243" s="272"/>
      <c r="K243" s="276"/>
    </row>
    <row r="244">
      <c r="C244" s="272"/>
      <c r="H244" s="272"/>
      <c r="J244" s="272"/>
      <c r="K244" s="276"/>
    </row>
    <row r="245">
      <c r="C245" s="272"/>
      <c r="H245" s="272"/>
      <c r="J245" s="272"/>
      <c r="K245" s="276"/>
    </row>
    <row r="246">
      <c r="C246" s="272"/>
      <c r="H246" s="272"/>
      <c r="J246" s="272"/>
      <c r="K246" s="276"/>
    </row>
    <row r="247">
      <c r="C247" s="272"/>
      <c r="H247" s="272"/>
      <c r="J247" s="272"/>
      <c r="K247" s="276"/>
    </row>
    <row r="248">
      <c r="C248" s="272"/>
      <c r="H248" s="272"/>
      <c r="J248" s="272"/>
      <c r="K248" s="276"/>
    </row>
    <row r="249">
      <c r="C249" s="272"/>
      <c r="H249" s="272"/>
      <c r="J249" s="272"/>
      <c r="K249" s="276"/>
    </row>
    <row r="250">
      <c r="C250" s="272"/>
      <c r="H250" s="272"/>
      <c r="J250" s="272"/>
      <c r="K250" s="276"/>
    </row>
    <row r="251">
      <c r="C251" s="272"/>
      <c r="H251" s="272"/>
      <c r="J251" s="272"/>
      <c r="K251" s="276"/>
    </row>
    <row r="252">
      <c r="C252" s="272"/>
      <c r="H252" s="272"/>
      <c r="J252" s="272"/>
      <c r="K252" s="276"/>
    </row>
    <row r="253">
      <c r="C253" s="272"/>
      <c r="H253" s="272"/>
      <c r="J253" s="272"/>
      <c r="K253" s="276"/>
    </row>
    <row r="254">
      <c r="C254" s="272"/>
      <c r="H254" s="272"/>
      <c r="J254" s="272"/>
      <c r="K254" s="276"/>
    </row>
    <row r="255">
      <c r="C255" s="272"/>
      <c r="H255" s="272"/>
      <c r="J255" s="272"/>
      <c r="K255" s="276"/>
    </row>
    <row r="256">
      <c r="C256" s="272"/>
      <c r="H256" s="272"/>
      <c r="J256" s="272"/>
      <c r="K256" s="276"/>
    </row>
    <row r="257">
      <c r="C257" s="272"/>
      <c r="H257" s="272"/>
      <c r="J257" s="272"/>
      <c r="K257" s="276"/>
    </row>
    <row r="258">
      <c r="C258" s="272"/>
      <c r="H258" s="272"/>
      <c r="J258" s="272"/>
      <c r="K258" s="276"/>
    </row>
    <row r="259">
      <c r="C259" s="272"/>
      <c r="H259" s="272"/>
      <c r="J259" s="272"/>
      <c r="K259" s="276"/>
    </row>
    <row r="260">
      <c r="C260" s="272"/>
      <c r="H260" s="272"/>
      <c r="J260" s="272"/>
      <c r="K260" s="276"/>
    </row>
    <row r="261">
      <c r="C261" s="272"/>
      <c r="H261" s="272"/>
      <c r="J261" s="272"/>
      <c r="K261" s="276"/>
    </row>
    <row r="262">
      <c r="C262" s="272"/>
      <c r="H262" s="272"/>
      <c r="J262" s="272"/>
      <c r="K262" s="276"/>
    </row>
    <row r="263">
      <c r="C263" s="272"/>
      <c r="H263" s="272"/>
      <c r="J263" s="272"/>
      <c r="K263" s="276"/>
    </row>
    <row r="264">
      <c r="C264" s="272"/>
      <c r="H264" s="272"/>
      <c r="J264" s="272"/>
      <c r="K264" s="276"/>
    </row>
    <row r="265">
      <c r="C265" s="272"/>
      <c r="H265" s="272"/>
      <c r="J265" s="272"/>
      <c r="K265" s="276"/>
    </row>
    <row r="266">
      <c r="C266" s="272"/>
      <c r="H266" s="272"/>
      <c r="J266" s="272"/>
      <c r="K266" s="276"/>
    </row>
    <row r="267">
      <c r="C267" s="272"/>
      <c r="H267" s="272"/>
      <c r="J267" s="272"/>
      <c r="K267" s="276"/>
    </row>
    <row r="268">
      <c r="C268" s="272"/>
      <c r="H268" s="272"/>
      <c r="J268" s="272"/>
      <c r="K268" s="276"/>
    </row>
    <row r="269">
      <c r="C269" s="272"/>
      <c r="H269" s="272"/>
      <c r="J269" s="272"/>
      <c r="K269" s="276"/>
    </row>
    <row r="270">
      <c r="C270" s="272"/>
      <c r="H270" s="272"/>
      <c r="J270" s="272"/>
      <c r="K270" s="276"/>
    </row>
    <row r="271">
      <c r="C271" s="272"/>
      <c r="H271" s="272"/>
      <c r="J271" s="272"/>
      <c r="K271" s="276"/>
    </row>
    <row r="272">
      <c r="C272" s="272"/>
      <c r="H272" s="272"/>
      <c r="J272" s="272"/>
      <c r="K272" s="276"/>
    </row>
    <row r="273">
      <c r="C273" s="272"/>
      <c r="H273" s="272"/>
      <c r="J273" s="272"/>
      <c r="K273" s="276"/>
    </row>
    <row r="274">
      <c r="C274" s="272"/>
      <c r="H274" s="272"/>
      <c r="J274" s="272"/>
      <c r="K274" s="276"/>
    </row>
    <row r="275">
      <c r="C275" s="272"/>
      <c r="H275" s="272"/>
      <c r="J275" s="272"/>
      <c r="K275" s="276"/>
    </row>
    <row r="276">
      <c r="C276" s="272"/>
      <c r="H276" s="272"/>
      <c r="J276" s="272"/>
      <c r="K276" s="276"/>
    </row>
    <row r="277">
      <c r="C277" s="272"/>
      <c r="H277" s="272"/>
      <c r="J277" s="272"/>
      <c r="K277" s="276"/>
    </row>
    <row r="278">
      <c r="C278" s="272"/>
      <c r="H278" s="272"/>
      <c r="J278" s="272"/>
      <c r="K278" s="276"/>
    </row>
    <row r="279">
      <c r="C279" s="272"/>
      <c r="H279" s="272"/>
      <c r="J279" s="272"/>
      <c r="K279" s="276"/>
    </row>
    <row r="280">
      <c r="C280" s="272"/>
      <c r="H280" s="272"/>
      <c r="J280" s="272"/>
      <c r="K280" s="276"/>
    </row>
    <row r="281">
      <c r="C281" s="272"/>
      <c r="H281" s="272"/>
      <c r="J281" s="272"/>
      <c r="K281" s="276"/>
    </row>
    <row r="282">
      <c r="C282" s="272"/>
      <c r="H282" s="272"/>
      <c r="J282" s="272"/>
      <c r="K282" s="276"/>
    </row>
    <row r="283">
      <c r="C283" s="272"/>
      <c r="H283" s="272"/>
      <c r="J283" s="272"/>
      <c r="K283" s="276"/>
    </row>
    <row r="284">
      <c r="C284" s="272"/>
      <c r="H284" s="272"/>
      <c r="J284" s="272"/>
      <c r="K284" s="276"/>
    </row>
    <row r="285">
      <c r="C285" s="272"/>
      <c r="H285" s="272"/>
      <c r="J285" s="272"/>
      <c r="K285" s="276"/>
    </row>
    <row r="286">
      <c r="C286" s="272"/>
      <c r="H286" s="272"/>
      <c r="J286" s="272"/>
      <c r="K286" s="276"/>
    </row>
    <row r="287">
      <c r="C287" s="272"/>
      <c r="H287" s="272"/>
      <c r="J287" s="272"/>
      <c r="K287" s="276"/>
    </row>
    <row r="288">
      <c r="C288" s="272"/>
      <c r="H288" s="272"/>
      <c r="J288" s="272"/>
      <c r="K288" s="276"/>
    </row>
    <row r="289">
      <c r="C289" s="272"/>
      <c r="H289" s="272"/>
      <c r="J289" s="272"/>
      <c r="K289" s="276"/>
    </row>
    <row r="290">
      <c r="C290" s="272"/>
      <c r="H290" s="272"/>
      <c r="J290" s="272"/>
      <c r="K290" s="276"/>
    </row>
    <row r="291">
      <c r="C291" s="272"/>
      <c r="H291" s="272"/>
      <c r="J291" s="272"/>
      <c r="K291" s="276"/>
    </row>
    <row r="292">
      <c r="C292" s="272"/>
      <c r="H292" s="272"/>
      <c r="J292" s="272"/>
      <c r="K292" s="276"/>
    </row>
    <row r="293">
      <c r="C293" s="272"/>
      <c r="H293" s="272"/>
      <c r="J293" s="272"/>
      <c r="K293" s="276"/>
    </row>
    <row r="294">
      <c r="C294" s="272"/>
      <c r="H294" s="272"/>
      <c r="J294" s="272"/>
      <c r="K294" s="276"/>
    </row>
    <row r="295">
      <c r="C295" s="272"/>
      <c r="H295" s="272"/>
      <c r="J295" s="272"/>
      <c r="K295" s="276"/>
    </row>
    <row r="296">
      <c r="C296" s="272"/>
      <c r="H296" s="272"/>
      <c r="J296" s="272"/>
      <c r="K296" s="276"/>
    </row>
    <row r="297">
      <c r="C297" s="272"/>
      <c r="H297" s="272"/>
      <c r="J297" s="272"/>
      <c r="K297" s="276"/>
    </row>
    <row r="298">
      <c r="C298" s="272"/>
      <c r="H298" s="272"/>
      <c r="J298" s="272"/>
      <c r="K298" s="276"/>
    </row>
    <row r="299">
      <c r="C299" s="272"/>
      <c r="H299" s="272"/>
      <c r="J299" s="272"/>
      <c r="K299" s="276"/>
    </row>
    <row r="300">
      <c r="C300" s="272"/>
      <c r="H300" s="272"/>
      <c r="J300" s="272"/>
      <c r="K300" s="276"/>
    </row>
    <row r="301">
      <c r="C301" s="272"/>
      <c r="H301" s="272"/>
      <c r="J301" s="272"/>
      <c r="K301" s="276"/>
    </row>
    <row r="302">
      <c r="C302" s="272"/>
      <c r="H302" s="272"/>
      <c r="J302" s="272"/>
      <c r="K302" s="276"/>
    </row>
    <row r="303">
      <c r="C303" s="272"/>
      <c r="H303" s="272"/>
      <c r="J303" s="272"/>
      <c r="K303" s="276"/>
    </row>
    <row r="304">
      <c r="C304" s="272"/>
      <c r="H304" s="272"/>
      <c r="J304" s="272"/>
      <c r="K304" s="276"/>
    </row>
    <row r="305">
      <c r="C305" s="272"/>
      <c r="H305" s="272"/>
      <c r="J305" s="272"/>
      <c r="K305" s="276"/>
    </row>
    <row r="306">
      <c r="C306" s="272"/>
      <c r="H306" s="272"/>
      <c r="J306" s="272"/>
      <c r="K306" s="276"/>
    </row>
    <row r="307">
      <c r="C307" s="272"/>
      <c r="H307" s="272"/>
      <c r="J307" s="272"/>
      <c r="K307" s="276"/>
    </row>
    <row r="308">
      <c r="C308" s="272"/>
      <c r="H308" s="272"/>
      <c r="J308" s="272"/>
      <c r="K308" s="276"/>
    </row>
    <row r="309">
      <c r="C309" s="272"/>
      <c r="H309" s="272"/>
      <c r="J309" s="272"/>
      <c r="K309" s="276"/>
    </row>
    <row r="310">
      <c r="C310" s="272"/>
      <c r="H310" s="272"/>
      <c r="J310" s="272"/>
      <c r="K310" s="276"/>
    </row>
    <row r="311">
      <c r="C311" s="272"/>
      <c r="H311" s="272"/>
      <c r="J311" s="272"/>
      <c r="K311" s="276"/>
    </row>
    <row r="312">
      <c r="C312" s="272"/>
      <c r="H312" s="272"/>
      <c r="J312" s="272"/>
      <c r="K312" s="276"/>
    </row>
    <row r="313">
      <c r="C313" s="272"/>
      <c r="H313" s="272"/>
      <c r="J313" s="272"/>
      <c r="K313" s="276"/>
    </row>
    <row r="314">
      <c r="C314" s="272"/>
      <c r="H314" s="272"/>
      <c r="J314" s="272"/>
      <c r="K314" s="276"/>
    </row>
    <row r="315">
      <c r="C315" s="272"/>
      <c r="H315" s="272"/>
      <c r="J315" s="272"/>
      <c r="K315" s="276"/>
    </row>
    <row r="316">
      <c r="C316" s="272"/>
      <c r="H316" s="272"/>
      <c r="J316" s="272"/>
      <c r="K316" s="276"/>
    </row>
    <row r="317">
      <c r="C317" s="272"/>
      <c r="H317" s="272"/>
      <c r="J317" s="272"/>
      <c r="K317" s="276"/>
    </row>
    <row r="318">
      <c r="C318" s="272"/>
      <c r="H318" s="272"/>
      <c r="J318" s="272"/>
      <c r="K318" s="276"/>
    </row>
    <row r="319">
      <c r="C319" s="272"/>
      <c r="H319" s="272"/>
      <c r="J319" s="272"/>
      <c r="K319" s="276"/>
    </row>
    <row r="320">
      <c r="C320" s="272"/>
      <c r="H320" s="272"/>
      <c r="J320" s="272"/>
      <c r="K320" s="276"/>
    </row>
    <row r="321">
      <c r="C321" s="272"/>
      <c r="H321" s="272"/>
      <c r="J321" s="272"/>
      <c r="K321" s="276"/>
    </row>
    <row r="322">
      <c r="C322" s="272"/>
      <c r="H322" s="272"/>
      <c r="J322" s="272"/>
      <c r="K322" s="276"/>
    </row>
    <row r="323">
      <c r="C323" s="272"/>
      <c r="H323" s="272"/>
      <c r="J323" s="272"/>
      <c r="K323" s="276"/>
    </row>
    <row r="324">
      <c r="C324" s="272"/>
      <c r="H324" s="272"/>
      <c r="J324" s="272"/>
      <c r="K324" s="276"/>
    </row>
    <row r="325">
      <c r="C325" s="272"/>
      <c r="H325" s="272"/>
      <c r="J325" s="272"/>
      <c r="K325" s="276"/>
    </row>
    <row r="326">
      <c r="C326" s="272"/>
      <c r="H326" s="272"/>
      <c r="J326" s="272"/>
      <c r="K326" s="276"/>
    </row>
    <row r="327">
      <c r="C327" s="272"/>
      <c r="H327" s="272"/>
      <c r="J327" s="272"/>
      <c r="K327" s="276"/>
    </row>
    <row r="328">
      <c r="C328" s="272"/>
      <c r="H328" s="272"/>
      <c r="J328" s="272"/>
      <c r="K328" s="276"/>
    </row>
    <row r="329">
      <c r="C329" s="272"/>
      <c r="H329" s="272"/>
      <c r="J329" s="272"/>
      <c r="K329" s="276"/>
    </row>
    <row r="330">
      <c r="C330" s="272"/>
      <c r="H330" s="272"/>
      <c r="J330" s="272"/>
      <c r="K330" s="276"/>
    </row>
    <row r="331">
      <c r="C331" s="272"/>
      <c r="H331" s="272"/>
      <c r="J331" s="272"/>
      <c r="K331" s="276"/>
    </row>
    <row r="332">
      <c r="C332" s="272"/>
      <c r="H332" s="272"/>
      <c r="J332" s="272"/>
      <c r="K332" s="276"/>
    </row>
    <row r="333">
      <c r="C333" s="272"/>
      <c r="H333" s="272"/>
      <c r="J333" s="272"/>
      <c r="K333" s="276"/>
    </row>
    <row r="334">
      <c r="C334" s="272"/>
      <c r="H334" s="272"/>
      <c r="J334" s="272"/>
      <c r="K334" s="276"/>
    </row>
    <row r="335">
      <c r="C335" s="272"/>
      <c r="H335" s="272"/>
      <c r="J335" s="272"/>
      <c r="K335" s="276"/>
    </row>
    <row r="336">
      <c r="C336" s="272"/>
      <c r="H336" s="272"/>
      <c r="J336" s="272"/>
      <c r="K336" s="276"/>
    </row>
    <row r="337">
      <c r="C337" s="272"/>
      <c r="H337" s="272"/>
      <c r="J337" s="272"/>
      <c r="K337" s="276"/>
    </row>
    <row r="338">
      <c r="C338" s="272"/>
      <c r="H338" s="272"/>
      <c r="J338" s="272"/>
      <c r="K338" s="276"/>
    </row>
    <row r="339">
      <c r="C339" s="272"/>
      <c r="H339" s="272"/>
      <c r="J339" s="272"/>
      <c r="K339" s="276"/>
    </row>
    <row r="340">
      <c r="C340" s="272"/>
      <c r="H340" s="272"/>
      <c r="J340" s="272"/>
      <c r="K340" s="276"/>
    </row>
    <row r="341">
      <c r="C341" s="272"/>
      <c r="H341" s="272"/>
      <c r="J341" s="272"/>
      <c r="K341" s="276"/>
    </row>
    <row r="342">
      <c r="C342" s="272"/>
      <c r="H342" s="272"/>
      <c r="J342" s="272"/>
      <c r="K342" s="276"/>
    </row>
    <row r="343">
      <c r="C343" s="272"/>
      <c r="H343" s="272"/>
      <c r="J343" s="272"/>
      <c r="K343" s="276"/>
    </row>
    <row r="344">
      <c r="C344" s="272"/>
      <c r="H344" s="272"/>
      <c r="J344" s="272"/>
      <c r="K344" s="276"/>
    </row>
    <row r="345">
      <c r="C345" s="272"/>
      <c r="H345" s="272"/>
      <c r="J345" s="272"/>
      <c r="K345" s="276"/>
    </row>
    <row r="346">
      <c r="C346" s="272"/>
      <c r="H346" s="272"/>
      <c r="J346" s="272"/>
      <c r="K346" s="276"/>
    </row>
    <row r="347">
      <c r="C347" s="272"/>
      <c r="H347" s="272"/>
      <c r="J347" s="272"/>
      <c r="K347" s="276"/>
    </row>
    <row r="348">
      <c r="C348" s="272"/>
      <c r="H348" s="272"/>
      <c r="J348" s="272"/>
      <c r="K348" s="276"/>
    </row>
    <row r="349">
      <c r="C349" s="272"/>
      <c r="H349" s="272"/>
      <c r="J349" s="272"/>
      <c r="K349" s="276"/>
    </row>
    <row r="350">
      <c r="C350" s="272"/>
      <c r="H350" s="272"/>
      <c r="J350" s="272"/>
      <c r="K350" s="276"/>
    </row>
    <row r="351">
      <c r="C351" s="272"/>
      <c r="H351" s="272"/>
      <c r="J351" s="272"/>
      <c r="K351" s="276"/>
    </row>
    <row r="352">
      <c r="C352" s="272"/>
      <c r="H352" s="272"/>
      <c r="J352" s="272"/>
      <c r="K352" s="276"/>
    </row>
    <row r="353">
      <c r="C353" s="272"/>
      <c r="H353" s="272"/>
      <c r="J353" s="272"/>
      <c r="K353" s="276"/>
    </row>
    <row r="354">
      <c r="C354" s="272"/>
      <c r="H354" s="272"/>
      <c r="J354" s="272"/>
      <c r="K354" s="276"/>
    </row>
    <row r="355">
      <c r="C355" s="272"/>
      <c r="H355" s="272"/>
      <c r="J355" s="272"/>
      <c r="K355" s="276"/>
    </row>
    <row r="356">
      <c r="C356" s="272"/>
      <c r="H356" s="272"/>
      <c r="J356" s="272"/>
      <c r="K356" s="276"/>
    </row>
    <row r="357">
      <c r="C357" s="272"/>
      <c r="H357" s="272"/>
      <c r="J357" s="272"/>
      <c r="K357" s="276"/>
    </row>
    <row r="358">
      <c r="C358" s="272"/>
      <c r="H358" s="272"/>
      <c r="J358" s="272"/>
      <c r="K358" s="276"/>
    </row>
    <row r="359">
      <c r="C359" s="272"/>
      <c r="H359" s="272"/>
      <c r="J359" s="272"/>
      <c r="K359" s="276"/>
    </row>
    <row r="360">
      <c r="C360" s="272"/>
      <c r="H360" s="272"/>
      <c r="J360" s="272"/>
      <c r="K360" s="276"/>
    </row>
    <row r="361">
      <c r="C361" s="272"/>
      <c r="H361" s="272"/>
      <c r="J361" s="272"/>
      <c r="K361" s="276"/>
    </row>
    <row r="362">
      <c r="C362" s="272"/>
      <c r="H362" s="272"/>
      <c r="J362" s="272"/>
      <c r="K362" s="276"/>
    </row>
    <row r="363">
      <c r="C363" s="272"/>
      <c r="H363" s="272"/>
      <c r="J363" s="272"/>
      <c r="K363" s="276"/>
    </row>
    <row r="364">
      <c r="C364" s="272"/>
      <c r="H364" s="272"/>
      <c r="J364" s="272"/>
      <c r="K364" s="276"/>
    </row>
    <row r="365">
      <c r="C365" s="272"/>
      <c r="H365" s="272"/>
      <c r="J365" s="272"/>
      <c r="K365" s="276"/>
    </row>
    <row r="366">
      <c r="C366" s="272"/>
      <c r="H366" s="272"/>
      <c r="J366" s="272"/>
      <c r="K366" s="276"/>
    </row>
    <row r="367">
      <c r="C367" s="272"/>
      <c r="H367" s="272"/>
      <c r="J367" s="272"/>
      <c r="K367" s="276"/>
    </row>
    <row r="368">
      <c r="C368" s="272"/>
      <c r="H368" s="272"/>
      <c r="J368" s="272"/>
      <c r="K368" s="276"/>
    </row>
    <row r="369">
      <c r="C369" s="272"/>
      <c r="H369" s="272"/>
      <c r="J369" s="272"/>
      <c r="K369" s="276"/>
    </row>
    <row r="370">
      <c r="C370" s="272"/>
      <c r="H370" s="272"/>
      <c r="J370" s="272"/>
      <c r="K370" s="276"/>
    </row>
    <row r="371">
      <c r="C371" s="272"/>
      <c r="H371" s="272"/>
      <c r="J371" s="272"/>
      <c r="K371" s="276"/>
    </row>
    <row r="372">
      <c r="C372" s="272"/>
      <c r="H372" s="272"/>
      <c r="J372" s="272"/>
      <c r="K372" s="276"/>
    </row>
    <row r="373">
      <c r="C373" s="272"/>
      <c r="H373" s="272"/>
      <c r="J373" s="272"/>
      <c r="K373" s="276"/>
    </row>
    <row r="374">
      <c r="C374" s="272"/>
      <c r="H374" s="272"/>
      <c r="J374" s="272"/>
      <c r="K374" s="276"/>
    </row>
    <row r="375">
      <c r="C375" s="272"/>
      <c r="H375" s="272"/>
      <c r="J375" s="272"/>
      <c r="K375" s="276"/>
    </row>
    <row r="376">
      <c r="C376" s="272"/>
      <c r="H376" s="272"/>
      <c r="J376" s="272"/>
      <c r="K376" s="276"/>
    </row>
    <row r="377">
      <c r="C377" s="272"/>
      <c r="H377" s="272"/>
      <c r="J377" s="272"/>
      <c r="K377" s="276"/>
    </row>
    <row r="378">
      <c r="C378" s="272"/>
      <c r="H378" s="272"/>
      <c r="J378" s="272"/>
      <c r="K378" s="276"/>
    </row>
    <row r="379">
      <c r="C379" s="272"/>
      <c r="H379" s="272"/>
      <c r="J379" s="272"/>
      <c r="K379" s="276"/>
    </row>
    <row r="380">
      <c r="C380" s="272"/>
      <c r="H380" s="272"/>
      <c r="J380" s="272"/>
      <c r="K380" s="276"/>
    </row>
    <row r="381">
      <c r="C381" s="272"/>
      <c r="H381" s="272"/>
      <c r="J381" s="272"/>
      <c r="K381" s="276"/>
    </row>
    <row r="382">
      <c r="C382" s="272"/>
      <c r="H382" s="272"/>
      <c r="J382" s="272"/>
      <c r="K382" s="276"/>
    </row>
    <row r="383">
      <c r="C383" s="272"/>
      <c r="H383" s="272"/>
      <c r="J383" s="272"/>
      <c r="K383" s="276"/>
    </row>
    <row r="384">
      <c r="C384" s="272"/>
      <c r="H384" s="272"/>
      <c r="J384" s="272"/>
      <c r="K384" s="276"/>
    </row>
    <row r="385">
      <c r="C385" s="272"/>
      <c r="H385" s="272"/>
      <c r="J385" s="272"/>
      <c r="K385" s="276"/>
    </row>
    <row r="386">
      <c r="C386" s="272"/>
      <c r="H386" s="272"/>
      <c r="J386" s="272"/>
      <c r="K386" s="276"/>
    </row>
    <row r="387">
      <c r="C387" s="272"/>
      <c r="H387" s="272"/>
      <c r="J387" s="272"/>
      <c r="K387" s="276"/>
    </row>
    <row r="388">
      <c r="C388" s="272"/>
      <c r="H388" s="272"/>
      <c r="J388" s="272"/>
      <c r="K388" s="276"/>
    </row>
    <row r="389">
      <c r="C389" s="272"/>
      <c r="H389" s="272"/>
      <c r="J389" s="272"/>
      <c r="K389" s="276"/>
    </row>
    <row r="390">
      <c r="C390" s="272"/>
      <c r="H390" s="272"/>
      <c r="J390" s="272"/>
      <c r="K390" s="276"/>
    </row>
    <row r="391">
      <c r="C391" s="272"/>
      <c r="H391" s="272"/>
      <c r="J391" s="272"/>
      <c r="K391" s="276"/>
    </row>
    <row r="392">
      <c r="C392" s="272"/>
      <c r="H392" s="272"/>
      <c r="J392" s="272"/>
      <c r="K392" s="276"/>
    </row>
    <row r="393">
      <c r="C393" s="272"/>
      <c r="H393" s="272"/>
      <c r="J393" s="272"/>
      <c r="K393" s="276"/>
    </row>
    <row r="394">
      <c r="C394" s="272"/>
      <c r="H394" s="272"/>
      <c r="J394" s="272"/>
      <c r="K394" s="276"/>
    </row>
    <row r="395">
      <c r="C395" s="272"/>
      <c r="H395" s="272"/>
      <c r="J395" s="272"/>
      <c r="K395" s="276"/>
    </row>
    <row r="396">
      <c r="C396" s="272"/>
      <c r="H396" s="272"/>
      <c r="J396" s="272"/>
      <c r="K396" s="276"/>
    </row>
    <row r="397">
      <c r="C397" s="272"/>
      <c r="H397" s="272"/>
      <c r="J397" s="272"/>
      <c r="K397" s="276"/>
    </row>
    <row r="398">
      <c r="C398" s="272"/>
      <c r="H398" s="272"/>
      <c r="J398" s="272"/>
      <c r="K398" s="276"/>
    </row>
    <row r="399">
      <c r="C399" s="272"/>
      <c r="H399" s="272"/>
      <c r="J399" s="272"/>
      <c r="K399" s="276"/>
    </row>
    <row r="400">
      <c r="C400" s="272"/>
      <c r="H400" s="272"/>
      <c r="J400" s="272"/>
      <c r="K400" s="276"/>
    </row>
    <row r="401">
      <c r="C401" s="272"/>
      <c r="H401" s="272"/>
      <c r="J401" s="272"/>
      <c r="K401" s="276"/>
    </row>
    <row r="402">
      <c r="C402" s="272"/>
      <c r="H402" s="272"/>
      <c r="J402" s="272"/>
      <c r="K402" s="276"/>
    </row>
    <row r="403">
      <c r="C403" s="272"/>
      <c r="H403" s="272"/>
      <c r="J403" s="272"/>
      <c r="K403" s="276"/>
    </row>
    <row r="404">
      <c r="C404" s="272"/>
      <c r="H404" s="272"/>
      <c r="J404" s="272"/>
      <c r="K404" s="276"/>
    </row>
    <row r="405">
      <c r="C405" s="272"/>
      <c r="H405" s="272"/>
      <c r="J405" s="272"/>
      <c r="K405" s="276"/>
    </row>
    <row r="406">
      <c r="C406" s="272"/>
      <c r="H406" s="272"/>
      <c r="J406" s="272"/>
      <c r="K406" s="276"/>
    </row>
    <row r="407">
      <c r="C407" s="272"/>
      <c r="H407" s="272"/>
      <c r="J407" s="272"/>
      <c r="K407" s="276"/>
    </row>
    <row r="408">
      <c r="C408" s="272"/>
      <c r="H408" s="272"/>
      <c r="J408" s="272"/>
      <c r="K408" s="276"/>
    </row>
    <row r="409">
      <c r="C409" s="272"/>
      <c r="H409" s="272"/>
      <c r="J409" s="272"/>
      <c r="K409" s="276"/>
    </row>
    <row r="410">
      <c r="C410" s="272"/>
      <c r="H410" s="272"/>
      <c r="J410" s="272"/>
      <c r="K410" s="276"/>
    </row>
    <row r="411">
      <c r="C411" s="272"/>
      <c r="H411" s="272"/>
      <c r="J411" s="272"/>
      <c r="K411" s="276"/>
    </row>
    <row r="412">
      <c r="C412" s="272"/>
      <c r="H412" s="272"/>
      <c r="J412" s="272"/>
      <c r="K412" s="276"/>
    </row>
    <row r="413">
      <c r="C413" s="272"/>
      <c r="H413" s="272"/>
      <c r="J413" s="272"/>
      <c r="K413" s="276"/>
    </row>
    <row r="414">
      <c r="C414" s="272"/>
      <c r="H414" s="272"/>
      <c r="J414" s="272"/>
      <c r="K414" s="276"/>
    </row>
    <row r="415">
      <c r="C415" s="272"/>
      <c r="H415" s="272"/>
      <c r="J415" s="272"/>
      <c r="K415" s="276"/>
    </row>
    <row r="416">
      <c r="C416" s="272"/>
      <c r="H416" s="272"/>
      <c r="J416" s="272"/>
      <c r="K416" s="276"/>
    </row>
    <row r="417">
      <c r="C417" s="272"/>
      <c r="H417" s="272"/>
      <c r="J417" s="272"/>
      <c r="K417" s="276"/>
    </row>
    <row r="418">
      <c r="C418" s="272"/>
      <c r="H418" s="272"/>
      <c r="J418" s="272"/>
      <c r="K418" s="276"/>
    </row>
    <row r="419">
      <c r="C419" s="272"/>
      <c r="H419" s="272"/>
      <c r="J419" s="272"/>
      <c r="K419" s="276"/>
    </row>
    <row r="420">
      <c r="C420" s="272"/>
      <c r="H420" s="272"/>
      <c r="J420" s="272"/>
      <c r="K420" s="276"/>
    </row>
    <row r="421">
      <c r="C421" s="272"/>
      <c r="H421" s="272"/>
      <c r="J421" s="272"/>
      <c r="K421" s="276"/>
    </row>
    <row r="422">
      <c r="C422" s="272"/>
      <c r="H422" s="272"/>
      <c r="J422" s="272"/>
      <c r="K422" s="276"/>
    </row>
    <row r="423">
      <c r="C423" s="272"/>
      <c r="H423" s="272"/>
      <c r="J423" s="272"/>
      <c r="K423" s="276"/>
    </row>
    <row r="424">
      <c r="C424" s="272"/>
      <c r="H424" s="272"/>
      <c r="J424" s="272"/>
      <c r="K424" s="276"/>
    </row>
    <row r="425">
      <c r="C425" s="272"/>
      <c r="H425" s="272"/>
      <c r="J425" s="272"/>
      <c r="K425" s="276"/>
    </row>
    <row r="426">
      <c r="C426" s="272"/>
      <c r="H426" s="272"/>
      <c r="J426" s="272"/>
      <c r="K426" s="276"/>
    </row>
    <row r="427">
      <c r="C427" s="272"/>
      <c r="H427" s="272"/>
      <c r="J427" s="272"/>
      <c r="K427" s="276"/>
    </row>
    <row r="428">
      <c r="C428" s="272"/>
      <c r="H428" s="272"/>
      <c r="J428" s="272"/>
      <c r="K428" s="276"/>
    </row>
    <row r="429">
      <c r="C429" s="272"/>
      <c r="H429" s="272"/>
      <c r="J429" s="272"/>
      <c r="K429" s="276"/>
    </row>
    <row r="430">
      <c r="C430" s="272"/>
      <c r="H430" s="272"/>
      <c r="J430" s="272"/>
      <c r="K430" s="276"/>
    </row>
    <row r="431">
      <c r="C431" s="272"/>
      <c r="H431" s="272"/>
      <c r="J431" s="272"/>
      <c r="K431" s="276"/>
    </row>
    <row r="432">
      <c r="C432" s="272"/>
      <c r="H432" s="272"/>
      <c r="J432" s="272"/>
      <c r="K432" s="276"/>
    </row>
    <row r="433">
      <c r="C433" s="272"/>
      <c r="H433" s="272"/>
      <c r="J433" s="272"/>
      <c r="K433" s="276"/>
    </row>
    <row r="434">
      <c r="C434" s="272"/>
      <c r="H434" s="272"/>
      <c r="J434" s="272"/>
      <c r="K434" s="276"/>
    </row>
    <row r="435">
      <c r="C435" s="272"/>
      <c r="H435" s="272"/>
      <c r="J435" s="272"/>
      <c r="K435" s="276"/>
    </row>
    <row r="436">
      <c r="C436" s="272"/>
      <c r="H436" s="272"/>
      <c r="J436" s="272"/>
      <c r="K436" s="276"/>
    </row>
    <row r="437">
      <c r="C437" s="272"/>
      <c r="H437" s="272"/>
      <c r="J437" s="272"/>
      <c r="K437" s="276"/>
    </row>
    <row r="438">
      <c r="C438" s="272"/>
      <c r="H438" s="272"/>
      <c r="J438" s="272"/>
      <c r="K438" s="276"/>
    </row>
    <row r="439">
      <c r="C439" s="272"/>
      <c r="H439" s="272"/>
      <c r="J439" s="272"/>
      <c r="K439" s="276"/>
    </row>
    <row r="440">
      <c r="C440" s="272"/>
      <c r="H440" s="272"/>
      <c r="J440" s="272"/>
      <c r="K440" s="276"/>
    </row>
    <row r="441">
      <c r="C441" s="272"/>
      <c r="H441" s="272"/>
      <c r="J441" s="272"/>
      <c r="K441" s="276"/>
    </row>
    <row r="442">
      <c r="C442" s="272"/>
      <c r="H442" s="272"/>
      <c r="J442" s="272"/>
      <c r="K442" s="276"/>
    </row>
    <row r="443">
      <c r="C443" s="272"/>
      <c r="H443" s="272"/>
      <c r="J443" s="272"/>
      <c r="K443" s="276"/>
    </row>
    <row r="444">
      <c r="C444" s="272"/>
      <c r="H444" s="272"/>
      <c r="J444" s="272"/>
      <c r="K444" s="276"/>
    </row>
    <row r="445">
      <c r="C445" s="272"/>
      <c r="H445" s="272"/>
      <c r="J445" s="272"/>
      <c r="K445" s="276"/>
    </row>
    <row r="446">
      <c r="C446" s="272"/>
      <c r="H446" s="272"/>
      <c r="J446" s="272"/>
      <c r="K446" s="276"/>
    </row>
    <row r="447">
      <c r="C447" s="272"/>
      <c r="H447" s="272"/>
      <c r="J447" s="272"/>
      <c r="K447" s="276"/>
    </row>
    <row r="448">
      <c r="C448" s="272"/>
      <c r="H448" s="272"/>
      <c r="J448" s="272"/>
      <c r="K448" s="276"/>
    </row>
    <row r="449">
      <c r="C449" s="272"/>
      <c r="H449" s="272"/>
      <c r="J449" s="272"/>
      <c r="K449" s="276"/>
    </row>
    <row r="450">
      <c r="C450" s="272"/>
      <c r="H450" s="272"/>
      <c r="J450" s="272"/>
      <c r="K450" s="276"/>
    </row>
    <row r="451">
      <c r="C451" s="272"/>
      <c r="H451" s="272"/>
      <c r="J451" s="272"/>
      <c r="K451" s="276"/>
    </row>
    <row r="452">
      <c r="C452" s="272"/>
      <c r="H452" s="272"/>
      <c r="J452" s="272"/>
      <c r="K452" s="276"/>
    </row>
    <row r="453">
      <c r="C453" s="272"/>
      <c r="H453" s="272"/>
      <c r="J453" s="272"/>
      <c r="K453" s="276"/>
    </row>
    <row r="454">
      <c r="C454" s="272"/>
      <c r="H454" s="272"/>
      <c r="J454" s="272"/>
      <c r="K454" s="276"/>
    </row>
    <row r="455">
      <c r="C455" s="272"/>
      <c r="H455" s="272"/>
      <c r="J455" s="272"/>
      <c r="K455" s="276"/>
    </row>
    <row r="456">
      <c r="C456" s="272"/>
      <c r="H456" s="272"/>
      <c r="J456" s="272"/>
      <c r="K456" s="276"/>
    </row>
    <row r="457">
      <c r="C457" s="272"/>
      <c r="H457" s="272"/>
      <c r="J457" s="272"/>
      <c r="K457" s="276"/>
    </row>
    <row r="458">
      <c r="C458" s="272"/>
      <c r="H458" s="272"/>
      <c r="J458" s="272"/>
      <c r="K458" s="276"/>
    </row>
    <row r="459">
      <c r="C459" s="272"/>
      <c r="H459" s="272"/>
      <c r="J459" s="272"/>
      <c r="K459" s="276"/>
    </row>
    <row r="460">
      <c r="C460" s="272"/>
      <c r="H460" s="272"/>
      <c r="J460" s="272"/>
      <c r="K460" s="276"/>
    </row>
    <row r="461">
      <c r="C461" s="272"/>
      <c r="H461" s="272"/>
      <c r="J461" s="272"/>
      <c r="K461" s="276"/>
    </row>
    <row r="462">
      <c r="C462" s="272"/>
      <c r="H462" s="272"/>
      <c r="J462" s="272"/>
      <c r="K462" s="276"/>
    </row>
    <row r="463">
      <c r="C463" s="272"/>
      <c r="H463" s="272"/>
      <c r="J463" s="272"/>
      <c r="K463" s="276"/>
    </row>
    <row r="464">
      <c r="C464" s="272"/>
      <c r="H464" s="272"/>
      <c r="J464" s="272"/>
      <c r="K464" s="276"/>
    </row>
    <row r="465">
      <c r="C465" s="272"/>
      <c r="H465" s="272"/>
      <c r="J465" s="272"/>
      <c r="K465" s="276"/>
    </row>
    <row r="466">
      <c r="C466" s="272"/>
      <c r="H466" s="272"/>
      <c r="J466" s="272"/>
      <c r="K466" s="276"/>
    </row>
    <row r="467">
      <c r="C467" s="272"/>
      <c r="H467" s="272"/>
      <c r="J467" s="272"/>
      <c r="K467" s="276"/>
    </row>
    <row r="468">
      <c r="C468" s="272"/>
      <c r="H468" s="272"/>
      <c r="J468" s="272"/>
      <c r="K468" s="276"/>
    </row>
    <row r="469">
      <c r="C469" s="272"/>
      <c r="H469" s="272"/>
      <c r="J469" s="272"/>
      <c r="K469" s="276"/>
    </row>
    <row r="470">
      <c r="C470" s="272"/>
      <c r="H470" s="272"/>
      <c r="J470" s="272"/>
      <c r="K470" s="276"/>
    </row>
    <row r="471">
      <c r="C471" s="272"/>
      <c r="H471" s="272"/>
      <c r="J471" s="272"/>
      <c r="K471" s="276"/>
    </row>
    <row r="472">
      <c r="C472" s="272"/>
      <c r="H472" s="272"/>
      <c r="J472" s="272"/>
      <c r="K472" s="276"/>
    </row>
    <row r="473">
      <c r="C473" s="272"/>
      <c r="H473" s="272"/>
      <c r="J473" s="272"/>
      <c r="K473" s="276"/>
    </row>
    <row r="474">
      <c r="C474" s="272"/>
      <c r="H474" s="272"/>
      <c r="J474" s="272"/>
      <c r="K474" s="276"/>
    </row>
    <row r="475">
      <c r="C475" s="272"/>
      <c r="H475" s="272"/>
      <c r="J475" s="272"/>
      <c r="K475" s="276"/>
    </row>
    <row r="476">
      <c r="C476" s="272"/>
      <c r="H476" s="272"/>
      <c r="J476" s="272"/>
      <c r="K476" s="276"/>
    </row>
    <row r="477">
      <c r="C477" s="272"/>
      <c r="H477" s="272"/>
      <c r="J477" s="272"/>
      <c r="K477" s="276"/>
    </row>
    <row r="478">
      <c r="C478" s="272"/>
      <c r="H478" s="272"/>
      <c r="J478" s="272"/>
      <c r="K478" s="276"/>
    </row>
    <row r="479">
      <c r="C479" s="272"/>
      <c r="H479" s="272"/>
      <c r="J479" s="272"/>
      <c r="K479" s="276"/>
    </row>
    <row r="480">
      <c r="C480" s="272"/>
      <c r="H480" s="272"/>
      <c r="J480" s="272"/>
      <c r="K480" s="276"/>
    </row>
    <row r="481">
      <c r="C481" s="272"/>
      <c r="H481" s="272"/>
      <c r="J481" s="272"/>
      <c r="K481" s="276"/>
    </row>
    <row r="482">
      <c r="C482" s="272"/>
      <c r="H482" s="272"/>
      <c r="J482" s="272"/>
      <c r="K482" s="276"/>
    </row>
    <row r="483">
      <c r="C483" s="272"/>
      <c r="H483" s="272"/>
      <c r="J483" s="272"/>
      <c r="K483" s="276"/>
    </row>
    <row r="484">
      <c r="C484" s="272"/>
      <c r="H484" s="272"/>
      <c r="J484" s="272"/>
      <c r="K484" s="276"/>
    </row>
    <row r="485">
      <c r="C485" s="272"/>
      <c r="H485" s="272"/>
      <c r="J485" s="272"/>
      <c r="K485" s="276"/>
    </row>
    <row r="486">
      <c r="C486" s="272"/>
      <c r="H486" s="272"/>
      <c r="J486" s="272"/>
      <c r="K486" s="276"/>
    </row>
    <row r="487">
      <c r="C487" s="272"/>
      <c r="H487" s="272"/>
      <c r="J487" s="272"/>
      <c r="K487" s="276"/>
    </row>
    <row r="488">
      <c r="C488" s="272"/>
      <c r="H488" s="272"/>
      <c r="J488" s="272"/>
      <c r="K488" s="276"/>
    </row>
    <row r="489">
      <c r="C489" s="272"/>
      <c r="H489" s="272"/>
      <c r="J489" s="272"/>
      <c r="K489" s="276"/>
    </row>
    <row r="490">
      <c r="C490" s="272"/>
      <c r="H490" s="272"/>
      <c r="J490" s="272"/>
      <c r="K490" s="276"/>
    </row>
    <row r="491">
      <c r="C491" s="272"/>
      <c r="H491" s="272"/>
      <c r="J491" s="272"/>
      <c r="K491" s="276"/>
    </row>
    <row r="492">
      <c r="C492" s="272"/>
      <c r="H492" s="272"/>
      <c r="J492" s="272"/>
      <c r="K492" s="276"/>
    </row>
    <row r="493">
      <c r="C493" s="272"/>
      <c r="H493" s="272"/>
      <c r="J493" s="272"/>
      <c r="K493" s="276"/>
    </row>
    <row r="494">
      <c r="C494" s="272"/>
      <c r="H494" s="272"/>
      <c r="J494" s="272"/>
      <c r="K494" s="276"/>
    </row>
    <row r="495">
      <c r="C495" s="272"/>
      <c r="H495" s="272"/>
      <c r="J495" s="272"/>
      <c r="K495" s="276"/>
    </row>
    <row r="496">
      <c r="C496" s="272"/>
      <c r="H496" s="272"/>
      <c r="J496" s="272"/>
      <c r="K496" s="276"/>
    </row>
    <row r="497">
      <c r="C497" s="272"/>
      <c r="H497" s="272"/>
      <c r="J497" s="272"/>
      <c r="K497" s="276"/>
    </row>
    <row r="498">
      <c r="C498" s="272"/>
      <c r="H498" s="272"/>
      <c r="J498" s="272"/>
      <c r="K498" s="276"/>
    </row>
    <row r="499">
      <c r="C499" s="272"/>
      <c r="H499" s="272"/>
      <c r="J499" s="272"/>
      <c r="K499" s="276"/>
    </row>
    <row r="500">
      <c r="C500" s="272"/>
      <c r="H500" s="272"/>
      <c r="J500" s="272"/>
      <c r="K500" s="276"/>
    </row>
    <row r="501">
      <c r="C501" s="272"/>
      <c r="H501" s="272"/>
      <c r="J501" s="272"/>
      <c r="K501" s="276"/>
    </row>
    <row r="502">
      <c r="C502" s="272"/>
      <c r="H502" s="272"/>
      <c r="J502" s="272"/>
      <c r="K502" s="276"/>
    </row>
    <row r="503">
      <c r="C503" s="272"/>
      <c r="H503" s="272"/>
      <c r="J503" s="272"/>
      <c r="K503" s="276"/>
    </row>
    <row r="504">
      <c r="C504" s="272"/>
      <c r="H504" s="272"/>
      <c r="J504" s="272"/>
      <c r="K504" s="276"/>
    </row>
    <row r="505">
      <c r="C505" s="272"/>
      <c r="H505" s="272"/>
      <c r="J505" s="272"/>
      <c r="K505" s="276"/>
    </row>
    <row r="506">
      <c r="C506" s="272"/>
      <c r="H506" s="272"/>
      <c r="J506" s="272"/>
      <c r="K506" s="276"/>
    </row>
    <row r="507">
      <c r="C507" s="272"/>
      <c r="H507" s="272"/>
      <c r="J507" s="272"/>
      <c r="K507" s="276"/>
    </row>
    <row r="508">
      <c r="C508" s="272"/>
      <c r="H508" s="272"/>
      <c r="J508" s="272"/>
      <c r="K508" s="276"/>
    </row>
    <row r="509">
      <c r="C509" s="272"/>
      <c r="H509" s="272"/>
      <c r="J509" s="272"/>
      <c r="K509" s="276"/>
    </row>
    <row r="510">
      <c r="C510" s="272"/>
      <c r="H510" s="272"/>
      <c r="J510" s="272"/>
      <c r="K510" s="276"/>
    </row>
    <row r="511">
      <c r="C511" s="272"/>
      <c r="H511" s="272"/>
      <c r="J511" s="272"/>
      <c r="K511" s="276"/>
    </row>
    <row r="512">
      <c r="C512" s="272"/>
      <c r="H512" s="272"/>
      <c r="J512" s="272"/>
      <c r="K512" s="276"/>
    </row>
    <row r="513">
      <c r="C513" s="272"/>
      <c r="H513" s="272"/>
      <c r="J513" s="272"/>
      <c r="K513" s="276"/>
    </row>
    <row r="514">
      <c r="C514" s="272"/>
      <c r="H514" s="272"/>
      <c r="J514" s="272"/>
      <c r="K514" s="276"/>
    </row>
    <row r="515">
      <c r="C515" s="272"/>
      <c r="H515" s="272"/>
      <c r="J515" s="272"/>
      <c r="K515" s="276"/>
    </row>
    <row r="516">
      <c r="C516" s="272"/>
      <c r="H516" s="272"/>
      <c r="J516" s="272"/>
      <c r="K516" s="276"/>
    </row>
    <row r="517">
      <c r="C517" s="272"/>
      <c r="H517" s="272"/>
      <c r="J517" s="272"/>
      <c r="K517" s="276"/>
    </row>
    <row r="518">
      <c r="C518" s="272"/>
      <c r="H518" s="272"/>
      <c r="J518" s="272"/>
      <c r="K518" s="276"/>
    </row>
    <row r="519">
      <c r="C519" s="272"/>
      <c r="H519" s="272"/>
      <c r="J519" s="272"/>
      <c r="K519" s="276"/>
    </row>
    <row r="520">
      <c r="C520" s="272"/>
      <c r="H520" s="272"/>
      <c r="J520" s="272"/>
      <c r="K520" s="276"/>
    </row>
    <row r="521">
      <c r="C521" s="272"/>
      <c r="H521" s="272"/>
      <c r="J521" s="272"/>
      <c r="K521" s="276"/>
    </row>
    <row r="522">
      <c r="C522" s="272"/>
      <c r="H522" s="272"/>
      <c r="J522" s="272"/>
      <c r="K522" s="276"/>
    </row>
    <row r="523">
      <c r="C523" s="272"/>
      <c r="H523" s="272"/>
      <c r="J523" s="272"/>
      <c r="K523" s="276"/>
    </row>
    <row r="524">
      <c r="C524" s="272"/>
      <c r="H524" s="272"/>
      <c r="J524" s="272"/>
      <c r="K524" s="276"/>
    </row>
    <row r="525">
      <c r="C525" s="272"/>
      <c r="H525" s="272"/>
      <c r="J525" s="272"/>
      <c r="K525" s="276"/>
    </row>
    <row r="526">
      <c r="C526" s="272"/>
      <c r="H526" s="272"/>
      <c r="J526" s="272"/>
      <c r="K526" s="276"/>
    </row>
    <row r="527">
      <c r="C527" s="272"/>
      <c r="H527" s="272"/>
      <c r="J527" s="272"/>
      <c r="K527" s="276"/>
    </row>
    <row r="528">
      <c r="C528" s="272"/>
      <c r="H528" s="272"/>
      <c r="J528" s="272"/>
      <c r="K528" s="276"/>
    </row>
    <row r="529">
      <c r="C529" s="272"/>
      <c r="H529" s="272"/>
      <c r="J529" s="272"/>
      <c r="K529" s="276"/>
    </row>
    <row r="530">
      <c r="C530" s="272"/>
      <c r="H530" s="272"/>
      <c r="J530" s="272"/>
      <c r="K530" s="276"/>
    </row>
    <row r="531">
      <c r="C531" s="272"/>
      <c r="H531" s="272"/>
      <c r="J531" s="272"/>
      <c r="K531" s="276"/>
    </row>
    <row r="532">
      <c r="C532" s="272"/>
      <c r="H532" s="272"/>
      <c r="J532" s="272"/>
      <c r="K532" s="276"/>
    </row>
    <row r="533">
      <c r="C533" s="272"/>
      <c r="H533" s="272"/>
      <c r="J533" s="272"/>
      <c r="K533" s="276"/>
    </row>
    <row r="534">
      <c r="C534" s="272"/>
      <c r="H534" s="272"/>
      <c r="J534" s="272"/>
      <c r="K534" s="276"/>
    </row>
    <row r="535">
      <c r="C535" s="272"/>
      <c r="H535" s="272"/>
      <c r="J535" s="272"/>
      <c r="K535" s="276"/>
    </row>
    <row r="536">
      <c r="C536" s="272"/>
      <c r="H536" s="272"/>
      <c r="J536" s="272"/>
      <c r="K536" s="276"/>
    </row>
    <row r="537">
      <c r="C537" s="272"/>
      <c r="H537" s="272"/>
      <c r="J537" s="272"/>
      <c r="K537" s="276"/>
    </row>
    <row r="538">
      <c r="C538" s="272"/>
      <c r="H538" s="272"/>
      <c r="J538" s="272"/>
      <c r="K538" s="276"/>
    </row>
    <row r="539">
      <c r="C539" s="272"/>
      <c r="H539" s="272"/>
      <c r="J539" s="272"/>
      <c r="K539" s="276"/>
    </row>
    <row r="540">
      <c r="C540" s="272"/>
      <c r="H540" s="272"/>
      <c r="J540" s="272"/>
      <c r="K540" s="276"/>
    </row>
    <row r="541">
      <c r="C541" s="272"/>
      <c r="H541" s="272"/>
      <c r="J541" s="272"/>
      <c r="K541" s="276"/>
    </row>
    <row r="542">
      <c r="C542" s="272"/>
      <c r="H542" s="272"/>
      <c r="J542" s="272"/>
      <c r="K542" s="276"/>
    </row>
    <row r="543">
      <c r="C543" s="272"/>
      <c r="H543" s="272"/>
      <c r="J543" s="272"/>
      <c r="K543" s="276"/>
    </row>
    <row r="544">
      <c r="C544" s="272"/>
      <c r="H544" s="272"/>
      <c r="J544" s="272"/>
      <c r="K544" s="276"/>
    </row>
    <row r="545">
      <c r="C545" s="272"/>
      <c r="H545" s="272"/>
      <c r="J545" s="272"/>
      <c r="K545" s="276"/>
    </row>
    <row r="546">
      <c r="C546" s="272"/>
      <c r="H546" s="272"/>
      <c r="J546" s="272"/>
      <c r="K546" s="276"/>
    </row>
    <row r="547">
      <c r="C547" s="272"/>
      <c r="H547" s="272"/>
      <c r="J547" s="272"/>
      <c r="K547" s="276"/>
    </row>
    <row r="548">
      <c r="C548" s="272"/>
      <c r="H548" s="272"/>
      <c r="J548" s="272"/>
      <c r="K548" s="276"/>
    </row>
    <row r="549">
      <c r="C549" s="272"/>
      <c r="H549" s="272"/>
      <c r="J549" s="272"/>
      <c r="K549" s="276"/>
    </row>
    <row r="550">
      <c r="C550" s="272"/>
      <c r="H550" s="272"/>
      <c r="J550" s="272"/>
      <c r="K550" s="276"/>
    </row>
    <row r="551">
      <c r="C551" s="272"/>
      <c r="H551" s="272"/>
      <c r="J551" s="272"/>
      <c r="K551" s="276"/>
    </row>
    <row r="552">
      <c r="C552" s="272"/>
      <c r="H552" s="272"/>
      <c r="J552" s="272"/>
      <c r="K552" s="276"/>
    </row>
    <row r="553">
      <c r="C553" s="272"/>
      <c r="H553" s="272"/>
      <c r="J553" s="272"/>
      <c r="K553" s="276"/>
    </row>
    <row r="554">
      <c r="C554" s="272"/>
      <c r="H554" s="272"/>
      <c r="J554" s="272"/>
      <c r="K554" s="276"/>
    </row>
    <row r="555">
      <c r="C555" s="272"/>
      <c r="H555" s="272"/>
      <c r="J555" s="272"/>
      <c r="K555" s="276"/>
    </row>
    <row r="556">
      <c r="C556" s="272"/>
      <c r="H556" s="272"/>
      <c r="J556" s="272"/>
      <c r="K556" s="276"/>
    </row>
    <row r="557">
      <c r="C557" s="272"/>
      <c r="H557" s="272"/>
      <c r="J557" s="272"/>
      <c r="K557" s="276"/>
    </row>
    <row r="558">
      <c r="C558" s="272"/>
      <c r="H558" s="272"/>
      <c r="J558" s="272"/>
      <c r="K558" s="276"/>
    </row>
    <row r="559">
      <c r="C559" s="272"/>
      <c r="H559" s="272"/>
      <c r="J559" s="272"/>
      <c r="K559" s="276"/>
    </row>
    <row r="560">
      <c r="C560" s="272"/>
      <c r="H560" s="272"/>
      <c r="J560" s="272"/>
      <c r="K560" s="276"/>
    </row>
    <row r="561">
      <c r="C561" s="272"/>
      <c r="H561" s="272"/>
      <c r="J561" s="272"/>
      <c r="K561" s="276"/>
    </row>
    <row r="562">
      <c r="C562" s="272"/>
      <c r="H562" s="272"/>
      <c r="J562" s="272"/>
      <c r="K562" s="276"/>
    </row>
    <row r="563">
      <c r="C563" s="272"/>
      <c r="H563" s="272"/>
      <c r="J563" s="272"/>
      <c r="K563" s="276"/>
    </row>
    <row r="564">
      <c r="C564" s="272"/>
      <c r="H564" s="272"/>
      <c r="J564" s="272"/>
      <c r="K564" s="276"/>
    </row>
    <row r="565">
      <c r="C565" s="272"/>
      <c r="H565" s="272"/>
      <c r="J565" s="272"/>
      <c r="K565" s="276"/>
    </row>
    <row r="566">
      <c r="C566" s="272"/>
      <c r="H566" s="272"/>
      <c r="J566" s="272"/>
      <c r="K566" s="276"/>
    </row>
    <row r="567">
      <c r="C567" s="272"/>
      <c r="H567" s="272"/>
      <c r="J567" s="272"/>
      <c r="K567" s="276"/>
    </row>
    <row r="568">
      <c r="C568" s="272"/>
      <c r="H568" s="272"/>
      <c r="J568" s="272"/>
      <c r="K568" s="276"/>
    </row>
    <row r="569">
      <c r="C569" s="272"/>
      <c r="H569" s="272"/>
      <c r="J569" s="272"/>
      <c r="K569" s="276"/>
    </row>
    <row r="570">
      <c r="C570" s="272"/>
      <c r="H570" s="272"/>
      <c r="J570" s="272"/>
      <c r="K570" s="276"/>
    </row>
    <row r="571">
      <c r="C571" s="272"/>
      <c r="H571" s="272"/>
      <c r="J571" s="272"/>
      <c r="K571" s="276"/>
    </row>
    <row r="572">
      <c r="C572" s="272"/>
      <c r="H572" s="272"/>
      <c r="J572" s="272"/>
      <c r="K572" s="276"/>
    </row>
    <row r="573">
      <c r="C573" s="272"/>
      <c r="H573" s="272"/>
      <c r="J573" s="272"/>
      <c r="K573" s="276"/>
    </row>
    <row r="574">
      <c r="C574" s="272"/>
      <c r="H574" s="272"/>
      <c r="J574" s="272"/>
      <c r="K574" s="276"/>
    </row>
    <row r="575">
      <c r="C575" s="272"/>
      <c r="H575" s="272"/>
      <c r="J575" s="272"/>
      <c r="K575" s="276"/>
    </row>
    <row r="576">
      <c r="C576" s="272"/>
      <c r="H576" s="272"/>
      <c r="J576" s="272"/>
      <c r="K576" s="276"/>
    </row>
    <row r="577">
      <c r="C577" s="272"/>
      <c r="H577" s="272"/>
      <c r="J577" s="272"/>
      <c r="K577" s="276"/>
    </row>
    <row r="578">
      <c r="C578" s="272"/>
      <c r="H578" s="272"/>
      <c r="J578" s="272"/>
      <c r="K578" s="276"/>
    </row>
    <row r="579">
      <c r="C579" s="272"/>
      <c r="H579" s="272"/>
      <c r="J579" s="272"/>
      <c r="K579" s="276"/>
    </row>
    <row r="580">
      <c r="C580" s="272"/>
      <c r="H580" s="272"/>
      <c r="J580" s="272"/>
      <c r="K580" s="276"/>
    </row>
    <row r="581">
      <c r="C581" s="272"/>
      <c r="H581" s="272"/>
      <c r="J581" s="272"/>
      <c r="K581" s="276"/>
    </row>
    <row r="582">
      <c r="C582" s="272"/>
      <c r="H582" s="272"/>
      <c r="J582" s="272"/>
      <c r="K582" s="276"/>
    </row>
    <row r="583">
      <c r="C583" s="272"/>
      <c r="H583" s="272"/>
      <c r="J583" s="272"/>
      <c r="K583" s="276"/>
    </row>
    <row r="584">
      <c r="C584" s="272"/>
      <c r="H584" s="272"/>
      <c r="J584" s="272"/>
      <c r="K584" s="276"/>
    </row>
    <row r="585">
      <c r="C585" s="272"/>
      <c r="H585" s="272"/>
      <c r="J585" s="272"/>
      <c r="K585" s="276"/>
    </row>
    <row r="586">
      <c r="C586" s="272"/>
      <c r="H586" s="272"/>
      <c r="J586" s="272"/>
      <c r="K586" s="276"/>
    </row>
    <row r="587">
      <c r="C587" s="272"/>
      <c r="H587" s="272"/>
      <c r="J587" s="272"/>
      <c r="K587" s="276"/>
    </row>
    <row r="588">
      <c r="C588" s="272"/>
      <c r="H588" s="272"/>
      <c r="J588" s="272"/>
      <c r="K588" s="276"/>
    </row>
    <row r="589">
      <c r="C589" s="272"/>
      <c r="H589" s="272"/>
      <c r="J589" s="272"/>
      <c r="K589" s="276"/>
    </row>
    <row r="590">
      <c r="C590" s="272"/>
      <c r="H590" s="272"/>
      <c r="J590" s="272"/>
      <c r="K590" s="276"/>
    </row>
    <row r="591">
      <c r="C591" s="272"/>
      <c r="H591" s="272"/>
      <c r="J591" s="272"/>
      <c r="K591" s="276"/>
    </row>
    <row r="592">
      <c r="C592" s="272"/>
      <c r="H592" s="272"/>
      <c r="J592" s="272"/>
      <c r="K592" s="276"/>
    </row>
    <row r="593">
      <c r="C593" s="272"/>
      <c r="H593" s="272"/>
      <c r="J593" s="272"/>
      <c r="K593" s="276"/>
    </row>
    <row r="594">
      <c r="C594" s="272"/>
      <c r="H594" s="272"/>
      <c r="J594" s="272"/>
      <c r="K594" s="276"/>
    </row>
    <row r="595">
      <c r="C595" s="272"/>
      <c r="H595" s="272"/>
      <c r="J595" s="272"/>
      <c r="K595" s="276"/>
    </row>
    <row r="596">
      <c r="C596" s="272"/>
      <c r="H596" s="272"/>
      <c r="J596" s="272"/>
      <c r="K596" s="276"/>
    </row>
    <row r="597">
      <c r="C597" s="272"/>
      <c r="H597" s="272"/>
      <c r="J597" s="272"/>
      <c r="K597" s="276"/>
    </row>
    <row r="598">
      <c r="C598" s="272"/>
      <c r="H598" s="272"/>
      <c r="J598" s="272"/>
      <c r="K598" s="276"/>
    </row>
    <row r="599">
      <c r="C599" s="272"/>
      <c r="H599" s="272"/>
      <c r="J599" s="272"/>
      <c r="K599" s="276"/>
    </row>
    <row r="600">
      <c r="C600" s="272"/>
      <c r="H600" s="272"/>
      <c r="J600" s="272"/>
      <c r="K600" s="276"/>
    </row>
    <row r="601">
      <c r="C601" s="272"/>
      <c r="H601" s="272"/>
      <c r="J601" s="272"/>
      <c r="K601" s="276"/>
    </row>
    <row r="602">
      <c r="C602" s="272"/>
      <c r="H602" s="272"/>
      <c r="J602" s="272"/>
      <c r="K602" s="276"/>
    </row>
    <row r="603">
      <c r="C603" s="272"/>
      <c r="H603" s="272"/>
      <c r="J603" s="272"/>
      <c r="K603" s="276"/>
    </row>
    <row r="604">
      <c r="C604" s="272"/>
      <c r="H604" s="272"/>
      <c r="J604" s="272"/>
      <c r="K604" s="276"/>
    </row>
    <row r="605">
      <c r="C605" s="272"/>
      <c r="H605" s="272"/>
      <c r="J605" s="272"/>
      <c r="K605" s="276"/>
    </row>
    <row r="606">
      <c r="C606" s="272"/>
      <c r="H606" s="272"/>
      <c r="J606" s="272"/>
      <c r="K606" s="276"/>
    </row>
    <row r="607">
      <c r="C607" s="272"/>
      <c r="H607" s="272"/>
      <c r="J607" s="272"/>
      <c r="K607" s="276"/>
    </row>
    <row r="608">
      <c r="C608" s="272"/>
      <c r="H608" s="272"/>
      <c r="J608" s="272"/>
      <c r="K608" s="276"/>
    </row>
    <row r="609">
      <c r="C609" s="272"/>
      <c r="H609" s="272"/>
      <c r="J609" s="272"/>
      <c r="K609" s="276"/>
    </row>
    <row r="610">
      <c r="C610" s="272"/>
      <c r="H610" s="272"/>
      <c r="J610" s="272"/>
      <c r="K610" s="276"/>
    </row>
    <row r="611">
      <c r="C611" s="272"/>
      <c r="H611" s="272"/>
      <c r="J611" s="272"/>
      <c r="K611" s="276"/>
    </row>
    <row r="612">
      <c r="C612" s="272"/>
      <c r="H612" s="272"/>
      <c r="J612" s="272"/>
      <c r="K612" s="276"/>
    </row>
    <row r="613">
      <c r="C613" s="272"/>
      <c r="H613" s="272"/>
      <c r="J613" s="272"/>
      <c r="K613" s="276"/>
    </row>
    <row r="614">
      <c r="C614" s="272"/>
      <c r="H614" s="272"/>
      <c r="J614" s="272"/>
      <c r="K614" s="276"/>
    </row>
    <row r="615">
      <c r="C615" s="272"/>
      <c r="H615" s="272"/>
      <c r="J615" s="272"/>
      <c r="K615" s="276"/>
    </row>
    <row r="616">
      <c r="C616" s="272"/>
      <c r="H616" s="272"/>
      <c r="J616" s="272"/>
      <c r="K616" s="276"/>
    </row>
    <row r="617">
      <c r="C617" s="272"/>
      <c r="H617" s="272"/>
      <c r="J617" s="272"/>
      <c r="K617" s="276"/>
    </row>
    <row r="618">
      <c r="C618" s="272"/>
      <c r="H618" s="272"/>
      <c r="J618" s="272"/>
      <c r="K618" s="276"/>
    </row>
    <row r="619">
      <c r="C619" s="272"/>
      <c r="H619" s="272"/>
      <c r="J619" s="272"/>
      <c r="K619" s="276"/>
    </row>
    <row r="620">
      <c r="C620" s="272"/>
      <c r="H620" s="272"/>
      <c r="J620" s="272"/>
      <c r="K620" s="276"/>
    </row>
    <row r="621">
      <c r="C621" s="272"/>
      <c r="H621" s="272"/>
      <c r="J621" s="272"/>
      <c r="K621" s="276"/>
    </row>
    <row r="622">
      <c r="C622" s="272"/>
      <c r="H622" s="272"/>
      <c r="J622" s="272"/>
      <c r="K622" s="276"/>
    </row>
    <row r="623">
      <c r="C623" s="272"/>
      <c r="H623" s="272"/>
      <c r="J623" s="272"/>
      <c r="K623" s="276"/>
    </row>
    <row r="624">
      <c r="C624" s="272"/>
      <c r="H624" s="272"/>
      <c r="J624" s="272"/>
      <c r="K624" s="276"/>
    </row>
    <row r="625">
      <c r="C625" s="272"/>
      <c r="H625" s="272"/>
      <c r="J625" s="272"/>
      <c r="K625" s="276"/>
    </row>
    <row r="626">
      <c r="C626" s="272"/>
      <c r="H626" s="272"/>
      <c r="J626" s="272"/>
      <c r="K626" s="276"/>
    </row>
    <row r="627">
      <c r="C627" s="272"/>
      <c r="H627" s="272"/>
      <c r="J627" s="272"/>
      <c r="K627" s="276"/>
    </row>
    <row r="628">
      <c r="C628" s="272"/>
      <c r="H628" s="272"/>
      <c r="J628" s="272"/>
      <c r="K628" s="276"/>
    </row>
    <row r="629">
      <c r="C629" s="272"/>
      <c r="H629" s="272"/>
      <c r="J629" s="272"/>
      <c r="K629" s="276"/>
    </row>
    <row r="630">
      <c r="C630" s="272"/>
      <c r="H630" s="272"/>
      <c r="J630" s="272"/>
      <c r="K630" s="276"/>
    </row>
    <row r="631">
      <c r="C631" s="272"/>
      <c r="H631" s="272"/>
      <c r="J631" s="272"/>
      <c r="K631" s="276"/>
    </row>
    <row r="632">
      <c r="C632" s="272"/>
      <c r="H632" s="272"/>
      <c r="J632" s="272"/>
      <c r="K632" s="276"/>
    </row>
    <row r="633">
      <c r="C633" s="272"/>
      <c r="H633" s="272"/>
      <c r="J633" s="272"/>
      <c r="K633" s="276"/>
    </row>
    <row r="634">
      <c r="C634" s="272"/>
      <c r="H634" s="272"/>
      <c r="J634" s="272"/>
      <c r="K634" s="276"/>
    </row>
    <row r="635">
      <c r="C635" s="272"/>
      <c r="H635" s="272"/>
      <c r="J635" s="272"/>
      <c r="K635" s="276"/>
    </row>
    <row r="636">
      <c r="C636" s="272"/>
      <c r="H636" s="272"/>
      <c r="J636" s="272"/>
      <c r="K636" s="276"/>
    </row>
    <row r="637">
      <c r="C637" s="272"/>
      <c r="H637" s="272"/>
      <c r="J637" s="272"/>
      <c r="K637" s="276"/>
    </row>
    <row r="638">
      <c r="C638" s="272"/>
      <c r="H638" s="272"/>
      <c r="J638" s="272"/>
      <c r="K638" s="276"/>
    </row>
    <row r="639">
      <c r="C639" s="272"/>
      <c r="H639" s="272"/>
      <c r="J639" s="272"/>
      <c r="K639" s="276"/>
    </row>
    <row r="640">
      <c r="C640" s="272"/>
      <c r="H640" s="272"/>
      <c r="J640" s="272"/>
      <c r="K640" s="276"/>
    </row>
    <row r="641">
      <c r="C641" s="272"/>
      <c r="H641" s="272"/>
      <c r="J641" s="272"/>
      <c r="K641" s="276"/>
    </row>
    <row r="642">
      <c r="C642" s="272"/>
      <c r="H642" s="272"/>
      <c r="J642" s="272"/>
      <c r="K642" s="276"/>
    </row>
    <row r="643">
      <c r="C643" s="272"/>
      <c r="H643" s="272"/>
      <c r="J643" s="272"/>
      <c r="K643" s="276"/>
    </row>
    <row r="644">
      <c r="C644" s="272"/>
      <c r="H644" s="272"/>
      <c r="J644" s="272"/>
      <c r="K644" s="276"/>
    </row>
    <row r="645">
      <c r="C645" s="272"/>
      <c r="H645" s="272"/>
      <c r="J645" s="272"/>
      <c r="K645" s="276"/>
    </row>
    <row r="646">
      <c r="C646" s="272"/>
      <c r="H646" s="272"/>
      <c r="J646" s="272"/>
      <c r="K646" s="276"/>
    </row>
    <row r="647">
      <c r="C647" s="272"/>
      <c r="H647" s="272"/>
      <c r="J647" s="272"/>
      <c r="K647" s="276"/>
    </row>
    <row r="648">
      <c r="C648" s="272"/>
      <c r="H648" s="272"/>
      <c r="J648" s="272"/>
      <c r="K648" s="276"/>
    </row>
    <row r="649">
      <c r="C649" s="272"/>
      <c r="H649" s="272"/>
      <c r="J649" s="272"/>
      <c r="K649" s="276"/>
    </row>
    <row r="650">
      <c r="C650" s="272"/>
      <c r="H650" s="272"/>
      <c r="J650" s="272"/>
      <c r="K650" s="276"/>
    </row>
    <row r="651">
      <c r="C651" s="272"/>
      <c r="H651" s="272"/>
      <c r="J651" s="272"/>
      <c r="K651" s="276"/>
    </row>
    <row r="652">
      <c r="C652" s="272"/>
      <c r="H652" s="272"/>
      <c r="J652" s="272"/>
      <c r="K652" s="276"/>
    </row>
    <row r="653">
      <c r="C653" s="272"/>
      <c r="H653" s="272"/>
      <c r="J653" s="272"/>
      <c r="K653" s="276"/>
    </row>
    <row r="654">
      <c r="C654" s="272"/>
      <c r="H654" s="272"/>
      <c r="J654" s="272"/>
      <c r="K654" s="276"/>
    </row>
    <row r="655">
      <c r="C655" s="272"/>
      <c r="H655" s="272"/>
      <c r="J655" s="272"/>
      <c r="K655" s="276"/>
    </row>
    <row r="656">
      <c r="C656" s="272"/>
      <c r="H656" s="272"/>
      <c r="J656" s="272"/>
      <c r="K656" s="276"/>
    </row>
    <row r="657">
      <c r="C657" s="272"/>
      <c r="H657" s="272"/>
      <c r="J657" s="272"/>
      <c r="K657" s="276"/>
    </row>
    <row r="658">
      <c r="C658" s="272"/>
      <c r="H658" s="272"/>
      <c r="J658" s="272"/>
      <c r="K658" s="276"/>
    </row>
    <row r="659">
      <c r="C659" s="272"/>
      <c r="H659" s="272"/>
      <c r="J659" s="272"/>
      <c r="K659" s="276"/>
    </row>
    <row r="660">
      <c r="C660" s="272"/>
      <c r="H660" s="272"/>
      <c r="J660" s="272"/>
      <c r="K660" s="276"/>
    </row>
    <row r="661">
      <c r="C661" s="272"/>
      <c r="H661" s="272"/>
      <c r="J661" s="272"/>
      <c r="K661" s="276"/>
    </row>
    <row r="662">
      <c r="C662" s="272"/>
      <c r="H662" s="272"/>
      <c r="J662" s="272"/>
      <c r="K662" s="276"/>
    </row>
    <row r="663">
      <c r="C663" s="272"/>
      <c r="H663" s="272"/>
      <c r="J663" s="272"/>
      <c r="K663" s="276"/>
    </row>
    <row r="664">
      <c r="C664" s="272"/>
      <c r="H664" s="272"/>
      <c r="J664" s="272"/>
      <c r="K664" s="276"/>
    </row>
    <row r="665">
      <c r="C665" s="272"/>
      <c r="H665" s="272"/>
      <c r="J665" s="272"/>
      <c r="K665" s="276"/>
    </row>
    <row r="666">
      <c r="C666" s="272"/>
      <c r="H666" s="272"/>
      <c r="J666" s="272"/>
      <c r="K666" s="276"/>
    </row>
    <row r="667">
      <c r="C667" s="272"/>
      <c r="H667" s="272"/>
      <c r="J667" s="272"/>
      <c r="K667" s="276"/>
    </row>
    <row r="668">
      <c r="C668" s="272"/>
      <c r="H668" s="272"/>
      <c r="J668" s="272"/>
      <c r="K668" s="276"/>
    </row>
    <row r="669">
      <c r="C669" s="272"/>
      <c r="H669" s="272"/>
      <c r="J669" s="272"/>
      <c r="K669" s="276"/>
    </row>
    <row r="670">
      <c r="C670" s="272"/>
      <c r="H670" s="272"/>
      <c r="J670" s="272"/>
      <c r="K670" s="276"/>
    </row>
    <row r="671">
      <c r="C671" s="272"/>
      <c r="H671" s="272"/>
      <c r="J671" s="272"/>
      <c r="K671" s="276"/>
    </row>
    <row r="672">
      <c r="C672" s="272"/>
      <c r="H672" s="272"/>
      <c r="J672" s="272"/>
      <c r="K672" s="276"/>
    </row>
    <row r="673">
      <c r="C673" s="272"/>
      <c r="H673" s="272"/>
      <c r="J673" s="272"/>
      <c r="K673" s="276"/>
    </row>
    <row r="674">
      <c r="C674" s="272"/>
      <c r="H674" s="272"/>
      <c r="J674" s="272"/>
      <c r="K674" s="276"/>
    </row>
    <row r="675">
      <c r="C675" s="272"/>
      <c r="H675" s="272"/>
      <c r="J675" s="272"/>
      <c r="K675" s="276"/>
    </row>
    <row r="676">
      <c r="C676" s="272"/>
      <c r="H676" s="272"/>
      <c r="J676" s="272"/>
      <c r="K676" s="276"/>
    </row>
    <row r="677">
      <c r="C677" s="272"/>
      <c r="H677" s="272"/>
      <c r="J677" s="272"/>
      <c r="K677" s="276"/>
    </row>
    <row r="678">
      <c r="C678" s="272"/>
      <c r="H678" s="272"/>
      <c r="J678" s="272"/>
      <c r="K678" s="276"/>
    </row>
    <row r="679">
      <c r="C679" s="272"/>
      <c r="H679" s="272"/>
      <c r="J679" s="272"/>
      <c r="K679" s="276"/>
    </row>
    <row r="680">
      <c r="C680" s="272"/>
      <c r="H680" s="272"/>
      <c r="J680" s="272"/>
      <c r="K680" s="276"/>
    </row>
    <row r="681">
      <c r="C681" s="272"/>
      <c r="H681" s="272"/>
      <c r="J681" s="272"/>
      <c r="K681" s="276"/>
    </row>
    <row r="682">
      <c r="C682" s="272"/>
      <c r="H682" s="272"/>
      <c r="J682" s="272"/>
      <c r="K682" s="276"/>
    </row>
    <row r="683">
      <c r="C683" s="272"/>
      <c r="H683" s="272"/>
      <c r="J683" s="272"/>
      <c r="K683" s="276"/>
    </row>
    <row r="684">
      <c r="C684" s="272"/>
      <c r="H684" s="272"/>
      <c r="J684" s="272"/>
      <c r="K684" s="276"/>
    </row>
    <row r="685">
      <c r="C685" s="272"/>
      <c r="H685" s="272"/>
      <c r="J685" s="272"/>
      <c r="K685" s="276"/>
    </row>
    <row r="686">
      <c r="C686" s="272"/>
      <c r="H686" s="272"/>
      <c r="J686" s="272"/>
      <c r="K686" s="276"/>
    </row>
    <row r="687">
      <c r="C687" s="272"/>
      <c r="H687" s="272"/>
      <c r="J687" s="272"/>
      <c r="K687" s="276"/>
    </row>
    <row r="688">
      <c r="C688" s="272"/>
      <c r="H688" s="272"/>
      <c r="J688" s="272"/>
      <c r="K688" s="276"/>
    </row>
    <row r="689">
      <c r="C689" s="272"/>
      <c r="H689" s="272"/>
      <c r="J689" s="272"/>
      <c r="K689" s="276"/>
    </row>
    <row r="690">
      <c r="C690" s="272"/>
      <c r="H690" s="272"/>
      <c r="J690" s="272"/>
      <c r="K690" s="276"/>
    </row>
    <row r="691">
      <c r="C691" s="272"/>
      <c r="H691" s="272"/>
      <c r="J691" s="272"/>
      <c r="K691" s="276"/>
    </row>
    <row r="692">
      <c r="C692" s="272"/>
      <c r="H692" s="272"/>
      <c r="J692" s="272"/>
      <c r="K692" s="276"/>
    </row>
    <row r="693">
      <c r="C693" s="272"/>
      <c r="H693" s="272"/>
      <c r="J693" s="272"/>
      <c r="K693" s="276"/>
    </row>
    <row r="694">
      <c r="C694" s="272"/>
      <c r="H694" s="272"/>
      <c r="J694" s="272"/>
      <c r="K694" s="276"/>
    </row>
    <row r="695">
      <c r="C695" s="272"/>
      <c r="H695" s="272"/>
      <c r="J695" s="272"/>
      <c r="K695" s="276"/>
    </row>
    <row r="696">
      <c r="C696" s="272"/>
      <c r="H696" s="272"/>
      <c r="J696" s="272"/>
      <c r="K696" s="276"/>
    </row>
    <row r="697">
      <c r="C697" s="272"/>
      <c r="H697" s="272"/>
      <c r="J697" s="272"/>
      <c r="K697" s="276"/>
    </row>
    <row r="698">
      <c r="C698" s="272"/>
      <c r="H698" s="272"/>
      <c r="J698" s="272"/>
      <c r="K698" s="276"/>
    </row>
    <row r="699">
      <c r="C699" s="272"/>
      <c r="H699" s="272"/>
      <c r="J699" s="272"/>
      <c r="K699" s="276"/>
    </row>
    <row r="700">
      <c r="C700" s="272"/>
      <c r="H700" s="272"/>
      <c r="J700" s="272"/>
      <c r="K700" s="276"/>
    </row>
    <row r="701">
      <c r="C701" s="272"/>
      <c r="H701" s="272"/>
      <c r="J701" s="272"/>
      <c r="K701" s="276"/>
    </row>
    <row r="702">
      <c r="C702" s="272"/>
      <c r="H702" s="272"/>
      <c r="J702" s="272"/>
      <c r="K702" s="276"/>
    </row>
    <row r="703">
      <c r="C703" s="272"/>
      <c r="H703" s="272"/>
      <c r="J703" s="272"/>
      <c r="K703" s="276"/>
    </row>
    <row r="704">
      <c r="C704" s="272"/>
      <c r="H704" s="272"/>
      <c r="J704" s="272"/>
      <c r="K704" s="276"/>
    </row>
    <row r="705">
      <c r="C705" s="272"/>
      <c r="H705" s="272"/>
      <c r="J705" s="272"/>
      <c r="K705" s="276"/>
    </row>
    <row r="706">
      <c r="C706" s="272"/>
      <c r="H706" s="272"/>
      <c r="J706" s="272"/>
      <c r="K706" s="276"/>
    </row>
    <row r="707">
      <c r="C707" s="272"/>
      <c r="H707" s="272"/>
      <c r="J707" s="272"/>
      <c r="K707" s="276"/>
    </row>
    <row r="708">
      <c r="C708" s="272"/>
      <c r="H708" s="272"/>
      <c r="J708" s="272"/>
      <c r="K708" s="276"/>
    </row>
    <row r="709">
      <c r="C709" s="272"/>
      <c r="H709" s="272"/>
      <c r="J709" s="272"/>
      <c r="K709" s="276"/>
    </row>
    <row r="710">
      <c r="C710" s="272"/>
      <c r="H710" s="272"/>
      <c r="J710" s="272"/>
      <c r="K710" s="276"/>
    </row>
    <row r="711">
      <c r="C711" s="272"/>
      <c r="H711" s="272"/>
      <c r="J711" s="272"/>
      <c r="K711" s="276"/>
    </row>
    <row r="712">
      <c r="C712" s="272"/>
      <c r="H712" s="272"/>
      <c r="J712" s="272"/>
      <c r="K712" s="276"/>
    </row>
    <row r="713">
      <c r="C713" s="272"/>
      <c r="H713" s="272"/>
      <c r="J713" s="272"/>
      <c r="K713" s="276"/>
    </row>
    <row r="714">
      <c r="C714" s="272"/>
      <c r="H714" s="272"/>
      <c r="J714" s="272"/>
      <c r="K714" s="276"/>
    </row>
    <row r="715">
      <c r="C715" s="272"/>
      <c r="H715" s="272"/>
      <c r="J715" s="272"/>
      <c r="K715" s="276"/>
    </row>
    <row r="716">
      <c r="C716" s="272"/>
      <c r="H716" s="272"/>
      <c r="J716" s="272"/>
      <c r="K716" s="276"/>
    </row>
    <row r="717">
      <c r="C717" s="272"/>
      <c r="H717" s="272"/>
      <c r="J717" s="272"/>
      <c r="K717" s="276"/>
    </row>
    <row r="718">
      <c r="C718" s="272"/>
      <c r="H718" s="272"/>
      <c r="J718" s="272"/>
      <c r="K718" s="276"/>
    </row>
    <row r="719">
      <c r="C719" s="272"/>
      <c r="H719" s="272"/>
      <c r="J719" s="272"/>
      <c r="K719" s="276"/>
    </row>
    <row r="720">
      <c r="C720" s="272"/>
      <c r="H720" s="272"/>
      <c r="J720" s="272"/>
      <c r="K720" s="276"/>
    </row>
    <row r="721">
      <c r="C721" s="272"/>
      <c r="H721" s="272"/>
      <c r="J721" s="272"/>
      <c r="K721" s="276"/>
    </row>
    <row r="722">
      <c r="C722" s="272"/>
      <c r="H722" s="272"/>
      <c r="J722" s="272"/>
      <c r="K722" s="276"/>
    </row>
    <row r="723">
      <c r="C723" s="272"/>
      <c r="H723" s="272"/>
      <c r="J723" s="272"/>
      <c r="K723" s="276"/>
    </row>
    <row r="724">
      <c r="C724" s="272"/>
      <c r="H724" s="272"/>
      <c r="J724" s="272"/>
      <c r="K724" s="276"/>
    </row>
    <row r="725">
      <c r="C725" s="272"/>
      <c r="H725" s="272"/>
      <c r="J725" s="272"/>
      <c r="K725" s="276"/>
    </row>
    <row r="726">
      <c r="C726" s="272"/>
      <c r="H726" s="272"/>
      <c r="J726" s="272"/>
      <c r="K726" s="276"/>
    </row>
    <row r="727">
      <c r="C727" s="272"/>
      <c r="H727" s="272"/>
      <c r="J727" s="272"/>
      <c r="K727" s="276"/>
    </row>
    <row r="728">
      <c r="C728" s="272"/>
      <c r="H728" s="272"/>
      <c r="J728" s="272"/>
      <c r="K728" s="276"/>
    </row>
    <row r="729">
      <c r="C729" s="272"/>
      <c r="H729" s="272"/>
      <c r="J729" s="272"/>
      <c r="K729" s="276"/>
    </row>
    <row r="730">
      <c r="C730" s="272"/>
      <c r="H730" s="272"/>
      <c r="J730" s="272"/>
      <c r="K730" s="276"/>
    </row>
    <row r="731">
      <c r="C731" s="272"/>
      <c r="H731" s="272"/>
      <c r="J731" s="272"/>
      <c r="K731" s="276"/>
    </row>
    <row r="732">
      <c r="C732" s="272"/>
      <c r="H732" s="272"/>
      <c r="J732" s="272"/>
      <c r="K732" s="276"/>
    </row>
    <row r="733">
      <c r="C733" s="272"/>
      <c r="H733" s="272"/>
      <c r="J733" s="272"/>
      <c r="K733" s="276"/>
    </row>
    <row r="734">
      <c r="C734" s="272"/>
      <c r="H734" s="272"/>
      <c r="J734" s="272"/>
      <c r="K734" s="276"/>
    </row>
    <row r="735">
      <c r="C735" s="272"/>
      <c r="H735" s="272"/>
      <c r="J735" s="272"/>
      <c r="K735" s="276"/>
    </row>
    <row r="736">
      <c r="C736" s="272"/>
      <c r="H736" s="272"/>
      <c r="J736" s="272"/>
      <c r="K736" s="276"/>
    </row>
    <row r="737">
      <c r="C737" s="272"/>
      <c r="H737" s="272"/>
      <c r="J737" s="272"/>
      <c r="K737" s="276"/>
    </row>
    <row r="738">
      <c r="C738" s="272"/>
      <c r="H738" s="272"/>
      <c r="J738" s="272"/>
      <c r="K738" s="276"/>
    </row>
    <row r="739">
      <c r="C739" s="272"/>
      <c r="H739" s="272"/>
      <c r="J739" s="272"/>
      <c r="K739" s="276"/>
    </row>
    <row r="740">
      <c r="C740" s="272"/>
      <c r="H740" s="272"/>
      <c r="J740" s="272"/>
      <c r="K740" s="276"/>
    </row>
    <row r="741">
      <c r="C741" s="272"/>
      <c r="H741" s="272"/>
      <c r="J741" s="272"/>
      <c r="K741" s="276"/>
    </row>
    <row r="742">
      <c r="C742" s="272"/>
      <c r="H742" s="272"/>
      <c r="J742" s="272"/>
      <c r="K742" s="276"/>
    </row>
    <row r="743">
      <c r="C743" s="272"/>
      <c r="H743" s="272"/>
      <c r="J743" s="272"/>
      <c r="K743" s="276"/>
    </row>
    <row r="744">
      <c r="C744" s="272"/>
      <c r="H744" s="272"/>
      <c r="J744" s="272"/>
      <c r="K744" s="276"/>
    </row>
    <row r="745">
      <c r="C745" s="272"/>
      <c r="H745" s="272"/>
      <c r="J745" s="272"/>
      <c r="K745" s="276"/>
    </row>
    <row r="746">
      <c r="C746" s="272"/>
      <c r="H746" s="272"/>
      <c r="J746" s="272"/>
      <c r="K746" s="276"/>
    </row>
    <row r="747">
      <c r="C747" s="272"/>
      <c r="H747" s="272"/>
      <c r="J747" s="272"/>
      <c r="K747" s="276"/>
    </row>
    <row r="748">
      <c r="C748" s="272"/>
      <c r="H748" s="272"/>
      <c r="J748" s="272"/>
      <c r="K748" s="276"/>
    </row>
    <row r="749">
      <c r="C749" s="272"/>
      <c r="H749" s="272"/>
      <c r="J749" s="272"/>
      <c r="K749" s="276"/>
    </row>
    <row r="750">
      <c r="C750" s="272"/>
      <c r="H750" s="272"/>
      <c r="J750" s="272"/>
      <c r="K750" s="276"/>
    </row>
    <row r="751">
      <c r="C751" s="272"/>
      <c r="H751" s="272"/>
      <c r="J751" s="272"/>
      <c r="K751" s="276"/>
    </row>
    <row r="752">
      <c r="C752" s="272"/>
      <c r="H752" s="272"/>
      <c r="J752" s="272"/>
      <c r="K752" s="276"/>
    </row>
    <row r="753">
      <c r="C753" s="272"/>
      <c r="H753" s="272"/>
      <c r="J753" s="272"/>
      <c r="K753" s="276"/>
    </row>
    <row r="754">
      <c r="C754" s="272"/>
      <c r="H754" s="272"/>
      <c r="J754" s="272"/>
      <c r="K754" s="276"/>
    </row>
    <row r="755">
      <c r="C755" s="272"/>
      <c r="H755" s="272"/>
      <c r="J755" s="272"/>
      <c r="K755" s="276"/>
    </row>
    <row r="756">
      <c r="C756" s="272"/>
      <c r="H756" s="272"/>
      <c r="J756" s="272"/>
      <c r="K756" s="276"/>
    </row>
    <row r="757">
      <c r="C757" s="272"/>
      <c r="H757" s="272"/>
      <c r="J757" s="272"/>
      <c r="K757" s="276"/>
    </row>
    <row r="758">
      <c r="C758" s="272"/>
      <c r="H758" s="272"/>
      <c r="J758" s="272"/>
      <c r="K758" s="276"/>
    </row>
    <row r="759">
      <c r="C759" s="272"/>
      <c r="H759" s="272"/>
      <c r="J759" s="272"/>
      <c r="K759" s="276"/>
    </row>
    <row r="760">
      <c r="C760" s="272"/>
      <c r="H760" s="272"/>
      <c r="J760" s="272"/>
      <c r="K760" s="276"/>
    </row>
    <row r="761">
      <c r="C761" s="272"/>
      <c r="H761" s="272"/>
      <c r="J761" s="272"/>
      <c r="K761" s="276"/>
    </row>
    <row r="762">
      <c r="C762" s="272"/>
      <c r="H762" s="272"/>
      <c r="J762" s="272"/>
      <c r="K762" s="276"/>
    </row>
    <row r="763">
      <c r="C763" s="272"/>
      <c r="H763" s="272"/>
      <c r="J763" s="272"/>
      <c r="K763" s="276"/>
    </row>
    <row r="764">
      <c r="C764" s="272"/>
      <c r="H764" s="272"/>
      <c r="J764" s="272"/>
      <c r="K764" s="276"/>
    </row>
    <row r="765">
      <c r="C765" s="272"/>
      <c r="H765" s="272"/>
      <c r="J765" s="272"/>
      <c r="K765" s="276"/>
    </row>
    <row r="766">
      <c r="C766" s="272"/>
      <c r="H766" s="272"/>
      <c r="J766" s="272"/>
      <c r="K766" s="276"/>
    </row>
    <row r="767">
      <c r="C767" s="272"/>
      <c r="H767" s="272"/>
      <c r="J767" s="272"/>
      <c r="K767" s="276"/>
    </row>
    <row r="768">
      <c r="C768" s="272"/>
      <c r="H768" s="272"/>
      <c r="J768" s="272"/>
      <c r="K768" s="276"/>
    </row>
    <row r="769">
      <c r="C769" s="272"/>
      <c r="H769" s="272"/>
      <c r="J769" s="272"/>
      <c r="K769" s="276"/>
    </row>
    <row r="770">
      <c r="C770" s="272"/>
      <c r="H770" s="272"/>
      <c r="J770" s="272"/>
      <c r="K770" s="276"/>
    </row>
    <row r="771">
      <c r="C771" s="272"/>
      <c r="H771" s="272"/>
      <c r="J771" s="272"/>
      <c r="K771" s="276"/>
    </row>
    <row r="772">
      <c r="C772" s="272"/>
      <c r="H772" s="272"/>
      <c r="J772" s="272"/>
      <c r="K772" s="276"/>
    </row>
    <row r="773">
      <c r="C773" s="272"/>
      <c r="H773" s="272"/>
      <c r="J773" s="272"/>
      <c r="K773" s="276"/>
    </row>
    <row r="774">
      <c r="C774" s="272"/>
      <c r="H774" s="272"/>
      <c r="J774" s="272"/>
      <c r="K774" s="276"/>
    </row>
    <row r="775">
      <c r="C775" s="272"/>
      <c r="H775" s="272"/>
      <c r="J775" s="272"/>
      <c r="K775" s="276"/>
    </row>
    <row r="776">
      <c r="C776" s="272"/>
      <c r="H776" s="272"/>
      <c r="J776" s="272"/>
      <c r="K776" s="276"/>
    </row>
    <row r="777">
      <c r="C777" s="272"/>
      <c r="H777" s="272"/>
      <c r="J777" s="272"/>
      <c r="K777" s="276"/>
    </row>
    <row r="778">
      <c r="C778" s="272"/>
      <c r="H778" s="272"/>
      <c r="J778" s="272"/>
      <c r="K778" s="276"/>
    </row>
    <row r="779">
      <c r="C779" s="272"/>
      <c r="H779" s="272"/>
      <c r="J779" s="272"/>
      <c r="K779" s="276"/>
    </row>
    <row r="780">
      <c r="C780" s="272"/>
      <c r="H780" s="272"/>
      <c r="J780" s="272"/>
      <c r="K780" s="276"/>
    </row>
    <row r="781">
      <c r="C781" s="272"/>
      <c r="H781" s="272"/>
      <c r="J781" s="272"/>
      <c r="K781" s="276"/>
    </row>
    <row r="782">
      <c r="C782" s="272"/>
      <c r="H782" s="272"/>
      <c r="J782" s="272"/>
      <c r="K782" s="276"/>
    </row>
    <row r="783">
      <c r="C783" s="272"/>
      <c r="H783" s="272"/>
      <c r="J783" s="272"/>
      <c r="K783" s="276"/>
    </row>
    <row r="784">
      <c r="C784" s="272"/>
      <c r="H784" s="272"/>
      <c r="J784" s="272"/>
      <c r="K784" s="276"/>
    </row>
    <row r="785">
      <c r="C785" s="272"/>
      <c r="H785" s="272"/>
      <c r="J785" s="272"/>
      <c r="K785" s="276"/>
    </row>
    <row r="786">
      <c r="C786" s="272"/>
      <c r="H786" s="272"/>
      <c r="J786" s="272"/>
      <c r="K786" s="276"/>
    </row>
    <row r="787">
      <c r="C787" s="272"/>
      <c r="H787" s="272"/>
      <c r="J787" s="272"/>
      <c r="K787" s="276"/>
    </row>
    <row r="788">
      <c r="C788" s="272"/>
      <c r="H788" s="272"/>
      <c r="J788" s="272"/>
      <c r="K788" s="276"/>
    </row>
    <row r="789">
      <c r="C789" s="272"/>
      <c r="H789" s="272"/>
      <c r="J789" s="272"/>
      <c r="K789" s="276"/>
    </row>
    <row r="790">
      <c r="C790" s="272"/>
      <c r="H790" s="272"/>
      <c r="J790" s="272"/>
      <c r="K790" s="276"/>
    </row>
    <row r="791">
      <c r="C791" s="272"/>
      <c r="H791" s="272"/>
      <c r="J791" s="272"/>
      <c r="K791" s="276"/>
    </row>
    <row r="792">
      <c r="C792" s="272"/>
      <c r="H792" s="272"/>
      <c r="J792" s="272"/>
      <c r="K792" s="276"/>
    </row>
    <row r="793">
      <c r="C793" s="272"/>
      <c r="H793" s="272"/>
      <c r="J793" s="272"/>
      <c r="K793" s="276"/>
    </row>
    <row r="794">
      <c r="C794" s="272"/>
      <c r="H794" s="272"/>
      <c r="J794" s="272"/>
      <c r="K794" s="276"/>
    </row>
    <row r="795">
      <c r="C795" s="272"/>
      <c r="H795" s="272"/>
      <c r="J795" s="272"/>
      <c r="K795" s="276"/>
    </row>
    <row r="796">
      <c r="C796" s="272"/>
      <c r="H796" s="272"/>
      <c r="J796" s="272"/>
      <c r="K796" s="276"/>
    </row>
    <row r="797">
      <c r="C797" s="272"/>
      <c r="H797" s="272"/>
      <c r="J797" s="272"/>
      <c r="K797" s="276"/>
    </row>
    <row r="798">
      <c r="C798" s="272"/>
      <c r="H798" s="272"/>
      <c r="J798" s="272"/>
      <c r="K798" s="276"/>
    </row>
    <row r="799">
      <c r="C799" s="272"/>
      <c r="H799" s="272"/>
      <c r="J799" s="272"/>
      <c r="K799" s="276"/>
    </row>
    <row r="800">
      <c r="C800" s="272"/>
      <c r="H800" s="272"/>
      <c r="J800" s="272"/>
      <c r="K800" s="276"/>
    </row>
    <row r="801">
      <c r="C801" s="272"/>
      <c r="H801" s="272"/>
      <c r="J801" s="272"/>
      <c r="K801" s="276"/>
    </row>
    <row r="802">
      <c r="C802" s="272"/>
      <c r="H802" s="272"/>
      <c r="J802" s="272"/>
      <c r="K802" s="276"/>
    </row>
    <row r="803">
      <c r="C803" s="272"/>
      <c r="H803" s="272"/>
      <c r="J803" s="272"/>
      <c r="K803" s="276"/>
    </row>
    <row r="804">
      <c r="C804" s="272"/>
      <c r="H804" s="272"/>
      <c r="J804" s="272"/>
      <c r="K804" s="276"/>
    </row>
    <row r="805">
      <c r="C805" s="272"/>
      <c r="H805" s="272"/>
      <c r="J805" s="272"/>
      <c r="K805" s="276"/>
    </row>
    <row r="806">
      <c r="C806" s="272"/>
      <c r="H806" s="272"/>
      <c r="J806" s="272"/>
      <c r="K806" s="276"/>
    </row>
    <row r="807">
      <c r="C807" s="272"/>
      <c r="H807" s="272"/>
      <c r="J807" s="272"/>
      <c r="K807" s="276"/>
    </row>
    <row r="808">
      <c r="C808" s="272"/>
      <c r="H808" s="272"/>
      <c r="J808" s="272"/>
      <c r="K808" s="276"/>
    </row>
    <row r="809">
      <c r="C809" s="272"/>
      <c r="H809" s="272"/>
      <c r="J809" s="272"/>
      <c r="K809" s="276"/>
    </row>
    <row r="810">
      <c r="C810" s="272"/>
      <c r="H810" s="272"/>
      <c r="J810" s="272"/>
      <c r="K810" s="276"/>
    </row>
    <row r="811">
      <c r="C811" s="272"/>
      <c r="H811" s="272"/>
      <c r="J811" s="272"/>
      <c r="K811" s="276"/>
    </row>
    <row r="812">
      <c r="C812" s="272"/>
      <c r="H812" s="272"/>
      <c r="J812" s="272"/>
      <c r="K812" s="276"/>
    </row>
    <row r="813">
      <c r="C813" s="272"/>
      <c r="H813" s="272"/>
      <c r="J813" s="272"/>
      <c r="K813" s="276"/>
    </row>
    <row r="814">
      <c r="C814" s="272"/>
      <c r="H814" s="272"/>
      <c r="J814" s="272"/>
      <c r="K814" s="276"/>
    </row>
    <row r="815">
      <c r="C815" s="272"/>
      <c r="H815" s="272"/>
      <c r="J815" s="272"/>
      <c r="K815" s="276"/>
    </row>
    <row r="816">
      <c r="C816" s="272"/>
      <c r="H816" s="272"/>
      <c r="J816" s="272"/>
      <c r="K816" s="276"/>
    </row>
    <row r="817">
      <c r="C817" s="272"/>
      <c r="H817" s="272"/>
      <c r="J817" s="272"/>
      <c r="K817" s="276"/>
    </row>
    <row r="818">
      <c r="C818" s="272"/>
      <c r="H818" s="272"/>
      <c r="J818" s="272"/>
      <c r="K818" s="276"/>
    </row>
    <row r="819">
      <c r="C819" s="272"/>
      <c r="H819" s="272"/>
      <c r="J819" s="272"/>
      <c r="K819" s="276"/>
    </row>
    <row r="820">
      <c r="C820" s="272"/>
      <c r="H820" s="272"/>
      <c r="J820" s="272"/>
      <c r="K820" s="276"/>
    </row>
    <row r="821">
      <c r="C821" s="272"/>
      <c r="H821" s="272"/>
      <c r="J821" s="272"/>
      <c r="K821" s="276"/>
    </row>
    <row r="822">
      <c r="C822" s="272"/>
      <c r="H822" s="272"/>
      <c r="J822" s="272"/>
      <c r="K822" s="276"/>
    </row>
    <row r="823">
      <c r="C823" s="272"/>
      <c r="H823" s="272"/>
      <c r="J823" s="272"/>
      <c r="K823" s="276"/>
    </row>
    <row r="824">
      <c r="C824" s="272"/>
      <c r="H824" s="272"/>
      <c r="J824" s="272"/>
      <c r="K824" s="276"/>
    </row>
    <row r="825">
      <c r="C825" s="272"/>
      <c r="H825" s="272"/>
      <c r="J825" s="272"/>
      <c r="K825" s="276"/>
    </row>
    <row r="826">
      <c r="C826" s="272"/>
      <c r="H826" s="272"/>
      <c r="J826" s="272"/>
      <c r="K826" s="276"/>
    </row>
    <row r="827">
      <c r="C827" s="272"/>
      <c r="H827" s="272"/>
      <c r="J827" s="272"/>
      <c r="K827" s="276"/>
    </row>
    <row r="828">
      <c r="C828" s="272"/>
      <c r="H828" s="272"/>
      <c r="J828" s="272"/>
      <c r="K828" s="276"/>
    </row>
    <row r="829">
      <c r="C829" s="272"/>
      <c r="H829" s="272"/>
      <c r="J829" s="272"/>
      <c r="K829" s="276"/>
    </row>
    <row r="830">
      <c r="C830" s="272"/>
      <c r="H830" s="272"/>
      <c r="J830" s="272"/>
      <c r="K830" s="276"/>
    </row>
    <row r="831">
      <c r="C831" s="272"/>
      <c r="H831" s="272"/>
      <c r="J831" s="272"/>
      <c r="K831" s="276"/>
    </row>
    <row r="832">
      <c r="C832" s="272"/>
      <c r="H832" s="272"/>
      <c r="J832" s="272"/>
      <c r="K832" s="276"/>
    </row>
    <row r="833">
      <c r="C833" s="272"/>
      <c r="H833" s="272"/>
      <c r="J833" s="272"/>
      <c r="K833" s="276"/>
    </row>
    <row r="834">
      <c r="C834" s="272"/>
      <c r="H834" s="272"/>
      <c r="J834" s="272"/>
      <c r="K834" s="276"/>
    </row>
    <row r="835">
      <c r="C835" s="272"/>
      <c r="H835" s="272"/>
      <c r="J835" s="272"/>
      <c r="K835" s="276"/>
    </row>
    <row r="836">
      <c r="C836" s="272"/>
      <c r="H836" s="272"/>
      <c r="J836" s="272"/>
      <c r="K836" s="276"/>
    </row>
    <row r="837">
      <c r="C837" s="272"/>
      <c r="H837" s="272"/>
      <c r="J837" s="272"/>
      <c r="K837" s="276"/>
    </row>
    <row r="838">
      <c r="C838" s="272"/>
      <c r="H838" s="272"/>
      <c r="J838" s="272"/>
      <c r="K838" s="276"/>
    </row>
    <row r="839">
      <c r="C839" s="272"/>
      <c r="H839" s="272"/>
      <c r="J839" s="272"/>
      <c r="K839" s="276"/>
    </row>
    <row r="840">
      <c r="C840" s="272"/>
      <c r="H840" s="272"/>
      <c r="J840" s="272"/>
      <c r="K840" s="276"/>
    </row>
    <row r="841">
      <c r="C841" s="272"/>
      <c r="H841" s="272"/>
      <c r="J841" s="272"/>
      <c r="K841" s="276"/>
    </row>
    <row r="842">
      <c r="C842" s="272"/>
      <c r="H842" s="272"/>
      <c r="J842" s="272"/>
      <c r="K842" s="276"/>
    </row>
    <row r="843">
      <c r="C843" s="272"/>
      <c r="H843" s="272"/>
      <c r="J843" s="272"/>
      <c r="K843" s="276"/>
    </row>
    <row r="844">
      <c r="C844" s="272"/>
      <c r="H844" s="272"/>
      <c r="J844" s="272"/>
      <c r="K844" s="276"/>
    </row>
    <row r="845">
      <c r="C845" s="272"/>
      <c r="H845" s="272"/>
      <c r="J845" s="272"/>
      <c r="K845" s="276"/>
    </row>
    <row r="846">
      <c r="C846" s="272"/>
      <c r="H846" s="272"/>
      <c r="J846" s="272"/>
      <c r="K846" s="276"/>
    </row>
    <row r="847">
      <c r="C847" s="272"/>
      <c r="H847" s="272"/>
      <c r="J847" s="272"/>
      <c r="K847" s="276"/>
    </row>
    <row r="848">
      <c r="C848" s="272"/>
      <c r="H848" s="272"/>
      <c r="J848" s="272"/>
      <c r="K848" s="276"/>
    </row>
    <row r="849">
      <c r="C849" s="272"/>
      <c r="H849" s="272"/>
      <c r="J849" s="272"/>
      <c r="K849" s="276"/>
    </row>
    <row r="850">
      <c r="C850" s="272"/>
      <c r="H850" s="272"/>
      <c r="J850" s="272"/>
      <c r="K850" s="276"/>
    </row>
    <row r="851">
      <c r="C851" s="272"/>
      <c r="H851" s="272"/>
      <c r="J851" s="272"/>
      <c r="K851" s="276"/>
    </row>
    <row r="852">
      <c r="C852" s="272"/>
      <c r="H852" s="272"/>
      <c r="J852" s="272"/>
      <c r="K852" s="276"/>
    </row>
    <row r="853">
      <c r="C853" s="272"/>
      <c r="H853" s="272"/>
      <c r="J853" s="272"/>
      <c r="K853" s="276"/>
    </row>
    <row r="854">
      <c r="C854" s="272"/>
      <c r="H854" s="272"/>
      <c r="J854" s="272"/>
      <c r="K854" s="276"/>
    </row>
    <row r="855">
      <c r="C855" s="272"/>
      <c r="H855" s="272"/>
      <c r="J855" s="272"/>
      <c r="K855" s="276"/>
    </row>
    <row r="856">
      <c r="C856" s="272"/>
      <c r="H856" s="272"/>
      <c r="J856" s="272"/>
      <c r="K856" s="276"/>
    </row>
    <row r="857">
      <c r="C857" s="272"/>
      <c r="H857" s="272"/>
      <c r="J857" s="272"/>
      <c r="K857" s="276"/>
    </row>
    <row r="858">
      <c r="C858" s="272"/>
      <c r="H858" s="272"/>
      <c r="J858" s="272"/>
      <c r="K858" s="276"/>
    </row>
    <row r="859">
      <c r="C859" s="272"/>
      <c r="H859" s="272"/>
      <c r="J859" s="272"/>
      <c r="K859" s="276"/>
    </row>
    <row r="860">
      <c r="C860" s="272"/>
      <c r="H860" s="272"/>
      <c r="J860" s="272"/>
      <c r="K860" s="276"/>
    </row>
    <row r="861">
      <c r="C861" s="272"/>
      <c r="H861" s="272"/>
      <c r="J861" s="272"/>
      <c r="K861" s="276"/>
    </row>
    <row r="862">
      <c r="C862" s="272"/>
      <c r="H862" s="272"/>
      <c r="J862" s="272"/>
      <c r="K862" s="276"/>
    </row>
    <row r="863">
      <c r="C863" s="272"/>
      <c r="H863" s="272"/>
      <c r="J863" s="272"/>
      <c r="K863" s="276"/>
    </row>
    <row r="864">
      <c r="C864" s="272"/>
      <c r="H864" s="272"/>
      <c r="J864" s="272"/>
      <c r="K864" s="276"/>
    </row>
    <row r="865">
      <c r="C865" s="272"/>
      <c r="H865" s="272"/>
      <c r="J865" s="272"/>
      <c r="K865" s="276"/>
    </row>
    <row r="866">
      <c r="C866" s="272"/>
      <c r="H866" s="272"/>
      <c r="J866" s="272"/>
      <c r="K866" s="276"/>
    </row>
    <row r="867">
      <c r="C867" s="272"/>
      <c r="H867" s="272"/>
      <c r="J867" s="272"/>
      <c r="K867" s="276"/>
    </row>
    <row r="868">
      <c r="C868" s="272"/>
      <c r="H868" s="272"/>
      <c r="J868" s="272"/>
      <c r="K868" s="276"/>
    </row>
    <row r="869">
      <c r="C869" s="272"/>
      <c r="H869" s="272"/>
      <c r="J869" s="272"/>
      <c r="K869" s="276"/>
    </row>
    <row r="870">
      <c r="C870" s="272"/>
      <c r="H870" s="272"/>
      <c r="J870" s="272"/>
      <c r="K870" s="276"/>
    </row>
    <row r="871">
      <c r="C871" s="272"/>
      <c r="H871" s="272"/>
      <c r="J871" s="272"/>
      <c r="K871" s="276"/>
    </row>
    <row r="872">
      <c r="C872" s="272"/>
      <c r="H872" s="272"/>
      <c r="J872" s="272"/>
      <c r="K872" s="276"/>
    </row>
    <row r="873">
      <c r="C873" s="272"/>
      <c r="H873" s="272"/>
      <c r="J873" s="272"/>
      <c r="K873" s="276"/>
    </row>
    <row r="874">
      <c r="C874" s="272"/>
      <c r="H874" s="272"/>
      <c r="J874" s="272"/>
      <c r="K874" s="276"/>
    </row>
    <row r="875">
      <c r="C875" s="272"/>
      <c r="H875" s="272"/>
      <c r="J875" s="272"/>
      <c r="K875" s="276"/>
    </row>
    <row r="876">
      <c r="C876" s="272"/>
      <c r="H876" s="272"/>
      <c r="J876" s="272"/>
      <c r="K876" s="276"/>
    </row>
    <row r="877">
      <c r="C877" s="272"/>
      <c r="H877" s="272"/>
      <c r="J877" s="272"/>
      <c r="K877" s="276"/>
    </row>
    <row r="878">
      <c r="C878" s="272"/>
      <c r="H878" s="272"/>
      <c r="J878" s="272"/>
      <c r="K878" s="276"/>
    </row>
    <row r="879">
      <c r="C879" s="272"/>
      <c r="H879" s="272"/>
      <c r="J879" s="272"/>
      <c r="K879" s="276"/>
    </row>
    <row r="880">
      <c r="C880" s="272"/>
      <c r="H880" s="272"/>
      <c r="J880" s="272"/>
      <c r="K880" s="276"/>
    </row>
    <row r="881">
      <c r="C881" s="272"/>
      <c r="H881" s="272"/>
      <c r="J881" s="272"/>
      <c r="K881" s="276"/>
    </row>
    <row r="882">
      <c r="C882" s="272"/>
      <c r="H882" s="272"/>
      <c r="J882" s="272"/>
      <c r="K882" s="276"/>
    </row>
    <row r="883">
      <c r="C883" s="272"/>
      <c r="H883" s="272"/>
      <c r="J883" s="272"/>
      <c r="K883" s="276"/>
    </row>
    <row r="884">
      <c r="C884" s="272"/>
      <c r="H884" s="272"/>
      <c r="J884" s="272"/>
      <c r="K884" s="276"/>
    </row>
    <row r="885">
      <c r="C885" s="272"/>
      <c r="H885" s="272"/>
      <c r="J885" s="272"/>
      <c r="K885" s="276"/>
    </row>
    <row r="886">
      <c r="C886" s="272"/>
      <c r="H886" s="272"/>
      <c r="J886" s="272"/>
      <c r="K886" s="276"/>
    </row>
    <row r="887">
      <c r="C887" s="272"/>
      <c r="H887" s="272"/>
      <c r="J887" s="272"/>
      <c r="K887" s="276"/>
    </row>
    <row r="888">
      <c r="C888" s="272"/>
      <c r="H888" s="272"/>
      <c r="J888" s="272"/>
      <c r="K888" s="276"/>
    </row>
    <row r="889">
      <c r="C889" s="272"/>
      <c r="H889" s="272"/>
      <c r="J889" s="272"/>
      <c r="K889" s="276"/>
    </row>
    <row r="890">
      <c r="C890" s="272"/>
      <c r="H890" s="272"/>
      <c r="J890" s="272"/>
      <c r="K890" s="276"/>
    </row>
    <row r="891">
      <c r="C891" s="272"/>
      <c r="H891" s="272"/>
      <c r="J891" s="272"/>
      <c r="K891" s="276"/>
    </row>
    <row r="892">
      <c r="C892" s="272"/>
      <c r="H892" s="272"/>
      <c r="J892" s="272"/>
      <c r="K892" s="276"/>
    </row>
    <row r="893">
      <c r="C893" s="272"/>
      <c r="H893" s="272"/>
      <c r="J893" s="272"/>
      <c r="K893" s="276"/>
    </row>
    <row r="894">
      <c r="C894" s="272"/>
      <c r="H894" s="272"/>
      <c r="J894" s="272"/>
      <c r="K894" s="276"/>
    </row>
    <row r="895">
      <c r="C895" s="272"/>
      <c r="H895" s="272"/>
      <c r="J895" s="272"/>
      <c r="K895" s="276"/>
    </row>
    <row r="896">
      <c r="C896" s="272"/>
      <c r="H896" s="272"/>
      <c r="J896" s="272"/>
      <c r="K896" s="276"/>
    </row>
    <row r="897">
      <c r="C897" s="272"/>
      <c r="H897" s="272"/>
      <c r="J897" s="272"/>
      <c r="K897" s="276"/>
    </row>
    <row r="898">
      <c r="C898" s="272"/>
      <c r="H898" s="272"/>
      <c r="J898" s="272"/>
      <c r="K898" s="276"/>
    </row>
    <row r="899">
      <c r="C899" s="272"/>
      <c r="H899" s="272"/>
      <c r="J899" s="272"/>
      <c r="K899" s="276"/>
    </row>
    <row r="900">
      <c r="C900" s="272"/>
      <c r="H900" s="272"/>
      <c r="J900" s="272"/>
      <c r="K900" s="276"/>
    </row>
    <row r="901">
      <c r="C901" s="272"/>
      <c r="H901" s="272"/>
      <c r="J901" s="272"/>
      <c r="K901" s="276"/>
    </row>
    <row r="902">
      <c r="C902" s="272"/>
      <c r="H902" s="272"/>
      <c r="J902" s="272"/>
      <c r="K902" s="276"/>
    </row>
    <row r="903">
      <c r="C903" s="272"/>
      <c r="H903" s="272"/>
      <c r="J903" s="272"/>
      <c r="K903" s="276"/>
    </row>
    <row r="904">
      <c r="C904" s="272"/>
      <c r="H904" s="272"/>
      <c r="J904" s="272"/>
      <c r="K904" s="276"/>
    </row>
    <row r="905">
      <c r="C905" s="272"/>
      <c r="H905" s="272"/>
      <c r="J905" s="272"/>
      <c r="K905" s="276"/>
    </row>
    <row r="906">
      <c r="C906" s="272"/>
      <c r="H906" s="272"/>
      <c r="J906" s="272"/>
      <c r="K906" s="276"/>
    </row>
    <row r="907">
      <c r="C907" s="272"/>
      <c r="H907" s="272"/>
      <c r="J907" s="272"/>
      <c r="K907" s="276"/>
    </row>
    <row r="908">
      <c r="C908" s="272"/>
      <c r="H908" s="272"/>
      <c r="J908" s="272"/>
      <c r="K908" s="276"/>
    </row>
    <row r="909">
      <c r="C909" s="272"/>
      <c r="H909" s="272"/>
      <c r="J909" s="272"/>
      <c r="K909" s="276"/>
    </row>
    <row r="910">
      <c r="C910" s="272"/>
      <c r="H910" s="272"/>
      <c r="J910" s="272"/>
      <c r="K910" s="276"/>
    </row>
    <row r="911">
      <c r="C911" s="272"/>
      <c r="H911" s="272"/>
      <c r="J911" s="272"/>
      <c r="K911" s="276"/>
    </row>
    <row r="912">
      <c r="C912" s="272"/>
      <c r="H912" s="272"/>
      <c r="J912" s="272"/>
      <c r="K912" s="276"/>
    </row>
    <row r="913">
      <c r="C913" s="272"/>
      <c r="H913" s="272"/>
      <c r="J913" s="272"/>
      <c r="K913" s="276"/>
    </row>
    <row r="914">
      <c r="C914" s="272"/>
      <c r="H914" s="272"/>
      <c r="J914" s="272"/>
      <c r="K914" s="276"/>
    </row>
    <row r="915">
      <c r="C915" s="272"/>
      <c r="H915" s="272"/>
      <c r="J915" s="272"/>
      <c r="K915" s="276"/>
    </row>
    <row r="916">
      <c r="C916" s="272"/>
      <c r="H916" s="272"/>
      <c r="J916" s="272"/>
      <c r="K916" s="276"/>
    </row>
    <row r="917">
      <c r="C917" s="272"/>
      <c r="H917" s="272"/>
      <c r="J917" s="272"/>
      <c r="K917" s="276"/>
    </row>
    <row r="918">
      <c r="C918" s="272"/>
      <c r="H918" s="272"/>
      <c r="J918" s="272"/>
      <c r="K918" s="276"/>
    </row>
    <row r="919">
      <c r="C919" s="272"/>
      <c r="H919" s="272"/>
      <c r="J919" s="272"/>
      <c r="K919" s="276"/>
    </row>
    <row r="920">
      <c r="C920" s="272"/>
      <c r="H920" s="272"/>
      <c r="J920" s="272"/>
      <c r="K920" s="276"/>
    </row>
    <row r="921">
      <c r="C921" s="272"/>
      <c r="H921" s="272"/>
      <c r="J921" s="272"/>
      <c r="K921" s="276"/>
    </row>
    <row r="922">
      <c r="C922" s="272"/>
      <c r="H922" s="272"/>
      <c r="J922" s="272"/>
      <c r="K922" s="276"/>
    </row>
    <row r="923">
      <c r="C923" s="272"/>
      <c r="H923" s="272"/>
      <c r="J923" s="272"/>
      <c r="K923" s="276"/>
    </row>
    <row r="924">
      <c r="C924" s="272"/>
      <c r="H924" s="272"/>
      <c r="J924" s="272"/>
      <c r="K924" s="276"/>
    </row>
    <row r="925">
      <c r="C925" s="272"/>
      <c r="H925" s="272"/>
      <c r="J925" s="272"/>
      <c r="K925" s="276"/>
    </row>
    <row r="926">
      <c r="C926" s="272"/>
      <c r="H926" s="272"/>
      <c r="J926" s="272"/>
      <c r="K926" s="276"/>
    </row>
    <row r="927">
      <c r="C927" s="272"/>
      <c r="H927" s="272"/>
      <c r="J927" s="272"/>
      <c r="K927" s="276"/>
    </row>
    <row r="928">
      <c r="C928" s="272"/>
      <c r="H928" s="272"/>
      <c r="J928" s="272"/>
      <c r="K928" s="276"/>
    </row>
    <row r="929">
      <c r="C929" s="272"/>
      <c r="H929" s="272"/>
      <c r="J929" s="272"/>
      <c r="K929" s="276"/>
    </row>
    <row r="930">
      <c r="C930" s="272"/>
      <c r="H930" s="272"/>
      <c r="J930" s="272"/>
      <c r="K930" s="276"/>
    </row>
    <row r="931">
      <c r="C931" s="272"/>
      <c r="H931" s="272"/>
      <c r="J931" s="272"/>
      <c r="K931" s="276"/>
    </row>
    <row r="932">
      <c r="C932" s="272"/>
      <c r="H932" s="272"/>
      <c r="J932" s="272"/>
      <c r="K932" s="276"/>
    </row>
    <row r="933">
      <c r="C933" s="272"/>
      <c r="H933" s="272"/>
      <c r="J933" s="272"/>
      <c r="K933" s="276"/>
    </row>
    <row r="934">
      <c r="C934" s="272"/>
      <c r="H934" s="272"/>
      <c r="J934" s="272"/>
      <c r="K934" s="276"/>
    </row>
    <row r="935">
      <c r="C935" s="272"/>
      <c r="H935" s="272"/>
      <c r="J935" s="272"/>
      <c r="K935" s="276"/>
    </row>
    <row r="936">
      <c r="C936" s="272"/>
      <c r="H936" s="272"/>
      <c r="J936" s="272"/>
      <c r="K936" s="276"/>
    </row>
    <row r="937">
      <c r="C937" s="272"/>
      <c r="H937" s="272"/>
      <c r="J937" s="272"/>
      <c r="K937" s="276"/>
    </row>
    <row r="938">
      <c r="C938" s="272"/>
      <c r="H938" s="272"/>
      <c r="J938" s="272"/>
      <c r="K938" s="276"/>
    </row>
    <row r="939">
      <c r="C939" s="272"/>
      <c r="H939" s="272"/>
      <c r="J939" s="272"/>
      <c r="K939" s="276"/>
    </row>
    <row r="940">
      <c r="C940" s="272"/>
      <c r="H940" s="272"/>
      <c r="J940" s="272"/>
      <c r="K940" s="276"/>
    </row>
    <row r="941">
      <c r="C941" s="272"/>
      <c r="H941" s="272"/>
      <c r="J941" s="272"/>
      <c r="K941" s="276"/>
    </row>
    <row r="942">
      <c r="C942" s="272"/>
      <c r="H942" s="272"/>
      <c r="J942" s="272"/>
      <c r="K942" s="276"/>
    </row>
    <row r="943">
      <c r="C943" s="272"/>
      <c r="H943" s="272"/>
      <c r="J943" s="272"/>
      <c r="K943" s="276"/>
    </row>
    <row r="944">
      <c r="C944" s="272"/>
      <c r="H944" s="272"/>
      <c r="J944" s="272"/>
      <c r="K944" s="276"/>
    </row>
    <row r="945">
      <c r="C945" s="272"/>
      <c r="H945" s="272"/>
      <c r="J945" s="272"/>
      <c r="K945" s="276"/>
    </row>
    <row r="946">
      <c r="C946" s="272"/>
      <c r="H946" s="272"/>
      <c r="J946" s="272"/>
      <c r="K946" s="276"/>
    </row>
    <row r="947">
      <c r="C947" s="272"/>
      <c r="H947" s="272"/>
      <c r="J947" s="272"/>
      <c r="K947" s="276"/>
    </row>
    <row r="948">
      <c r="C948" s="272"/>
      <c r="H948" s="272"/>
      <c r="J948" s="272"/>
      <c r="K948" s="276"/>
    </row>
    <row r="949">
      <c r="C949" s="272"/>
      <c r="H949" s="272"/>
      <c r="J949" s="272"/>
      <c r="K949" s="276"/>
    </row>
    <row r="950">
      <c r="C950" s="272"/>
      <c r="H950" s="272"/>
      <c r="J950" s="272"/>
      <c r="K950" s="276"/>
    </row>
    <row r="951">
      <c r="C951" s="272"/>
      <c r="H951" s="272"/>
      <c r="J951" s="272"/>
      <c r="K951" s="276"/>
    </row>
    <row r="952">
      <c r="C952" s="272"/>
      <c r="H952" s="272"/>
      <c r="J952" s="272"/>
      <c r="K952" s="276"/>
    </row>
    <row r="953">
      <c r="C953" s="272"/>
      <c r="H953" s="272"/>
      <c r="J953" s="272"/>
      <c r="K953" s="276"/>
    </row>
    <row r="954">
      <c r="C954" s="272"/>
      <c r="H954" s="272"/>
      <c r="J954" s="272"/>
      <c r="K954" s="276"/>
    </row>
    <row r="955">
      <c r="C955" s="272"/>
      <c r="H955" s="272"/>
      <c r="J955" s="272"/>
      <c r="K955" s="276"/>
    </row>
    <row r="956">
      <c r="C956" s="272"/>
      <c r="H956" s="272"/>
      <c r="J956" s="272"/>
      <c r="K956" s="276"/>
    </row>
    <row r="957">
      <c r="C957" s="272"/>
      <c r="H957" s="272"/>
      <c r="J957" s="272"/>
      <c r="K957" s="276"/>
    </row>
    <row r="958">
      <c r="C958" s="272"/>
      <c r="H958" s="272"/>
      <c r="J958" s="272"/>
      <c r="K958" s="276"/>
    </row>
    <row r="959">
      <c r="C959" s="272"/>
      <c r="H959" s="272"/>
      <c r="J959" s="272"/>
      <c r="K959" s="276"/>
    </row>
    <row r="960">
      <c r="C960" s="272"/>
      <c r="H960" s="272"/>
      <c r="J960" s="272"/>
      <c r="K960" s="276"/>
    </row>
    <row r="961">
      <c r="C961" s="272"/>
      <c r="H961" s="272"/>
      <c r="J961" s="272"/>
      <c r="K961" s="276"/>
    </row>
    <row r="962">
      <c r="C962" s="272"/>
      <c r="H962" s="272"/>
      <c r="J962" s="272"/>
      <c r="K962" s="276"/>
    </row>
    <row r="963">
      <c r="C963" s="272"/>
      <c r="H963" s="272"/>
      <c r="J963" s="272"/>
      <c r="K963" s="276"/>
    </row>
    <row r="964">
      <c r="C964" s="272"/>
      <c r="H964" s="272"/>
      <c r="J964" s="272"/>
      <c r="K964" s="276"/>
    </row>
    <row r="965">
      <c r="C965" s="272"/>
      <c r="H965" s="272"/>
      <c r="J965" s="272"/>
      <c r="K965" s="276"/>
    </row>
    <row r="966">
      <c r="C966" s="272"/>
      <c r="H966" s="272"/>
      <c r="J966" s="272"/>
      <c r="K966" s="276"/>
    </row>
    <row r="967">
      <c r="C967" s="272"/>
      <c r="H967" s="272"/>
      <c r="J967" s="272"/>
      <c r="K967" s="276"/>
    </row>
    <row r="968">
      <c r="C968" s="272"/>
      <c r="H968" s="272"/>
      <c r="J968" s="272"/>
      <c r="K968" s="276"/>
    </row>
    <row r="969">
      <c r="C969" s="272"/>
      <c r="H969" s="272"/>
      <c r="J969" s="272"/>
      <c r="K969" s="276"/>
    </row>
    <row r="970">
      <c r="C970" s="272"/>
      <c r="H970" s="272"/>
      <c r="J970" s="272"/>
      <c r="K970" s="276"/>
    </row>
    <row r="971">
      <c r="C971" s="272"/>
      <c r="H971" s="272"/>
      <c r="J971" s="272"/>
      <c r="K971" s="276"/>
    </row>
    <row r="972">
      <c r="C972" s="272"/>
      <c r="H972" s="272"/>
      <c r="J972" s="272"/>
      <c r="K972" s="276"/>
    </row>
    <row r="973">
      <c r="C973" s="272"/>
      <c r="H973" s="272"/>
      <c r="J973" s="272"/>
      <c r="K973" s="276"/>
    </row>
    <row r="974">
      <c r="C974" s="272"/>
      <c r="H974" s="272"/>
      <c r="J974" s="272"/>
      <c r="K974" s="276"/>
    </row>
    <row r="975">
      <c r="C975" s="272"/>
      <c r="H975" s="272"/>
      <c r="J975" s="272"/>
      <c r="K975" s="276"/>
    </row>
    <row r="976">
      <c r="C976" s="272"/>
      <c r="H976" s="272"/>
      <c r="J976" s="272"/>
      <c r="K976" s="276"/>
    </row>
    <row r="977">
      <c r="C977" s="272"/>
      <c r="H977" s="272"/>
      <c r="J977" s="272"/>
      <c r="K977" s="276"/>
    </row>
    <row r="978">
      <c r="C978" s="272"/>
      <c r="H978" s="272"/>
      <c r="J978" s="272"/>
      <c r="K978" s="276"/>
    </row>
    <row r="979">
      <c r="C979" s="272"/>
      <c r="H979" s="272"/>
      <c r="J979" s="272"/>
      <c r="K979" s="276"/>
    </row>
    <row r="980">
      <c r="C980" s="272"/>
      <c r="H980" s="272"/>
      <c r="J980" s="272"/>
      <c r="K980" s="276"/>
    </row>
    <row r="981">
      <c r="C981" s="272"/>
      <c r="H981" s="272"/>
      <c r="J981" s="272"/>
      <c r="K981" s="276"/>
    </row>
    <row r="982">
      <c r="C982" s="272"/>
      <c r="H982" s="272"/>
      <c r="J982" s="272"/>
      <c r="K982" s="276"/>
    </row>
    <row r="983">
      <c r="C983" s="272"/>
      <c r="H983" s="272"/>
      <c r="J983" s="272"/>
      <c r="K983" s="276"/>
    </row>
    <row r="984">
      <c r="C984" s="272"/>
      <c r="H984" s="272"/>
      <c r="J984" s="272"/>
      <c r="K984" s="276"/>
    </row>
    <row r="985">
      <c r="C985" s="272"/>
      <c r="H985" s="272"/>
      <c r="J985" s="272"/>
      <c r="K985" s="276"/>
    </row>
    <row r="986">
      <c r="C986" s="272"/>
      <c r="H986" s="272"/>
      <c r="J986" s="272"/>
      <c r="K986" s="276"/>
    </row>
    <row r="987">
      <c r="C987" s="272"/>
      <c r="H987" s="272"/>
      <c r="J987" s="272"/>
      <c r="K987" s="276"/>
    </row>
    <row r="988">
      <c r="C988" s="272"/>
      <c r="H988" s="272"/>
      <c r="J988" s="272"/>
      <c r="K988" s="276"/>
    </row>
    <row r="989">
      <c r="C989" s="272"/>
      <c r="H989" s="272"/>
      <c r="J989" s="272"/>
      <c r="K989" s="276"/>
    </row>
    <row r="990">
      <c r="C990" s="272"/>
      <c r="H990" s="272"/>
      <c r="J990" s="272"/>
      <c r="K990" s="276"/>
    </row>
    <row r="991">
      <c r="C991" s="272"/>
      <c r="H991" s="272"/>
      <c r="J991" s="272"/>
      <c r="K991" s="276"/>
    </row>
    <row r="992">
      <c r="C992" s="272"/>
      <c r="H992" s="272"/>
      <c r="J992" s="272"/>
      <c r="K992" s="276"/>
    </row>
    <row r="993">
      <c r="C993" s="272"/>
      <c r="H993" s="272"/>
      <c r="J993" s="272"/>
      <c r="K993" s="276"/>
    </row>
    <row r="994">
      <c r="C994" s="272"/>
      <c r="H994" s="272"/>
      <c r="J994" s="272"/>
      <c r="K994" s="276"/>
    </row>
    <row r="995">
      <c r="C995" s="272"/>
      <c r="H995" s="272"/>
      <c r="J995" s="272"/>
      <c r="K995" s="276"/>
    </row>
    <row r="996">
      <c r="C996" s="272"/>
      <c r="H996" s="272"/>
      <c r="J996" s="272"/>
      <c r="K996" s="276"/>
    </row>
    <row r="997">
      <c r="C997" s="272"/>
      <c r="H997" s="272"/>
      <c r="J997" s="272"/>
      <c r="K997" s="276"/>
    </row>
    <row r="998">
      <c r="C998" s="272"/>
      <c r="H998" s="272"/>
      <c r="J998" s="272"/>
      <c r="K998" s="276"/>
    </row>
    <row r="999">
      <c r="C999" s="272"/>
      <c r="H999" s="272"/>
      <c r="J999" s="272"/>
      <c r="K999" s="276"/>
    </row>
    <row r="1000">
      <c r="C1000" s="272"/>
      <c r="H1000" s="272"/>
      <c r="J1000" s="272"/>
      <c r="K1000" s="276"/>
    </row>
    <row r="1001">
      <c r="C1001" s="272"/>
      <c r="H1001" s="272"/>
      <c r="J1001" s="272"/>
      <c r="K1001" s="276"/>
    </row>
  </sheetData>
  <autoFilter ref="$D$1:$F$62"/>
  <mergeCells count="3">
    <mergeCell ref="A1:B1"/>
    <mergeCell ref="A4:B7"/>
    <mergeCell ref="K6:K8"/>
  </mergeCells>
  <dataValidations>
    <dataValidation type="list" allowBlank="1" showErrorMessage="1" sqref="F2:G61">
      <formula1>"Yes,No"</formula1>
    </dataValidation>
  </dataValidations>
  <drawing r:id="rId1"/>
</worksheet>
</file>