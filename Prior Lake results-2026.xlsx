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-to" sheetId="1" r:id="rId4"/>
    <sheet state="visible" name="Record" sheetId="2" r:id="rId5"/>
    <sheet state="visible" name="Summary" sheetId="3" r:id="rId6"/>
  </sheets>
  <definedNames/>
  <calcPr/>
  <extLst>
    <ext uri="GoogleSheetsCustomDataVersion2">
      <go:sheetsCustomData xmlns:go="http://customooxmlschemas.google.com/" r:id="rId7" roundtripDataChecksum="A/mC/e0pdPR7YERyT77R6xwVwelrKKq4+ki5rRDOA0U="/>
    </ext>
  </extLst>
</workbook>
</file>

<file path=xl/sharedStrings.xml><?xml version="1.0" encoding="utf-8"?>
<sst xmlns="http://schemas.openxmlformats.org/spreadsheetml/2006/main" count="319" uniqueCount="99">
  <si>
    <t>Yinghua Track — Prior Lake Results</t>
  </si>
  <si>
    <t>Open this on your phone in Google Sheets. Each row is one athlete (or relay team) in one event.</t>
  </si>
  <si>
    <t>How to record</t>
  </si>
  <si>
    <t xml:space="preserve">  1. Tap the Record tab.</t>
  </si>
  <si>
    <t xml:space="preserve">  2. Find the event + athlete row. Tap the MARK column.</t>
  </si>
  <si>
    <t xml:space="preserve">  3. Type the time or distance and tap Done.</t>
  </si>
  <si>
    <t xml:space="preserve">       • Sprint time → 14.32 or 1:08.45</t>
  </si>
  <si>
    <t xml:space="preserve">       • Distance → 22'6" or 22.5 (feet)</t>
  </si>
  <si>
    <t xml:space="preserve">       • Height (HJ) → 4'2" or 4.16</t>
  </si>
  <si>
    <t xml:space="preserve">  4. The row turns green once a mark is in.</t>
  </si>
  <si>
    <t>Special cases (use the NOTES column)</t>
  </si>
  <si>
    <t xml:space="preserve">  • DNS = did not start  ·  DNF = did not finish  ·  PR = personal record  ·  SCR = scratched</t>
  </si>
  <si>
    <t xml:space="preserve">  • Anything with DNS or DNF in notes shows greyed out.</t>
  </si>
  <si>
    <t>Tips for mobile</t>
  </si>
  <si>
    <t xml:space="preserve">  • The first column (Event) and the Athlete column stay frozen while you scroll.</t>
  </si>
  <si>
    <t xml:space="preserve">  • Use Sheets' search (top-right 🔍) to jump to an athlete fast.</t>
  </si>
  <si>
    <t xml:space="preserve">  • Relay rows: the Heat column shows team members for reference.</t>
  </si>
  <si>
    <t>After the meet, the Summary tab shows results sorted by event.</t>
  </si>
  <si>
    <t>Prior Lake — Wed 5/13</t>
  </si>
  <si>
    <t>Event</t>
  </si>
  <si>
    <t>Athlete / Team</t>
  </si>
  <si>
    <t>Heat</t>
  </si>
  <si>
    <t>MARK</t>
  </si>
  <si>
    <t>Notes</t>
  </si>
  <si>
    <t>100m Low Hurdles</t>
  </si>
  <si>
    <t>Keva Bowron</t>
  </si>
  <si>
    <t>6/7G</t>
  </si>
  <si>
    <t>Vienna Haas</t>
  </si>
  <si>
    <t>Ari Klapperich-Khuu</t>
  </si>
  <si>
    <t>6/7B</t>
  </si>
  <si>
    <t>Cole Beaudry</t>
  </si>
  <si>
    <t>100m Dash</t>
  </si>
  <si>
    <t>Alexandra Ebinger</t>
  </si>
  <si>
    <t>Perrin Light-Haberstroh</t>
  </si>
  <si>
    <t>PR</t>
  </si>
  <si>
    <t>Arya Sanaka</t>
  </si>
  <si>
    <t>Ben Surla</t>
  </si>
  <si>
    <t xml:space="preserve">Marcus </t>
  </si>
  <si>
    <t>Caleb Wilson</t>
  </si>
  <si>
    <t>Isaac Wilson</t>
  </si>
  <si>
    <t>Devin Lindquist</t>
  </si>
  <si>
    <t>Kai Dinger</t>
  </si>
  <si>
    <t>Louis Ryan</t>
  </si>
  <si>
    <t>Remy Fortin</t>
  </si>
  <si>
    <t>Reuben Addington</t>
  </si>
  <si>
    <t>Addis Demere</t>
  </si>
  <si>
    <t>8B</t>
  </si>
  <si>
    <t>Cooper Coblentz</t>
  </si>
  <si>
    <t>Hudson Coblentz</t>
  </si>
  <si>
    <t>Jin Trenh</t>
  </si>
  <si>
    <t>Nathan Coblentz</t>
  </si>
  <si>
    <t>1600m Run</t>
  </si>
  <si>
    <t>Annika Peterson</t>
  </si>
  <si>
    <t>Amelia</t>
  </si>
  <si>
    <t>6:20.00</t>
  </si>
  <si>
    <t>Audrey Roffe</t>
  </si>
  <si>
    <t>6:24.00</t>
  </si>
  <si>
    <t>Gabriel Nowariak</t>
  </si>
  <si>
    <t>400m Dash</t>
  </si>
  <si>
    <t>Sage Houdek</t>
  </si>
  <si>
    <t>8G</t>
  </si>
  <si>
    <t>Aedan Herman</t>
  </si>
  <si>
    <t>4x100m Relay</t>
  </si>
  <si>
    <t>Yinghua Girls A</t>
  </si>
  <si>
    <t>Keva · Vienna · Annika · Althea</t>
  </si>
  <si>
    <t>1:01.38</t>
  </si>
  <si>
    <t>Yinghua Girls B</t>
  </si>
  <si>
    <t>Elyse · Amelia · Perrin · Alexandra</t>
  </si>
  <si>
    <t>1:04.33</t>
  </si>
  <si>
    <t>Yinghua Boys A</t>
  </si>
  <si>
    <t>Kai · Ari · Isaac · Cole</t>
  </si>
  <si>
    <t>Yinghua Boys B</t>
  </si>
  <si>
    <t>Jin · Hudson · Addis · Aedan</t>
  </si>
  <si>
    <t>200m Dash</t>
  </si>
  <si>
    <t>Althea Bortel Fielder</t>
  </si>
  <si>
    <t>Vienna</t>
  </si>
  <si>
    <t>Ari K</t>
  </si>
  <si>
    <t>Mattias kunc</t>
  </si>
  <si>
    <t>800m Run</t>
  </si>
  <si>
    <t>Marcus Kunc</t>
  </si>
  <si>
    <t>Mattias</t>
  </si>
  <si>
    <t>Sprint Medley</t>
  </si>
  <si>
    <t>Vienna(100) · Keva(100) · Althea(200) · Annika(400)</t>
  </si>
  <si>
    <t>Ari(100) · Kai(100) · Isaac(200) · Cole(400)</t>
  </si>
  <si>
    <t>High Jump</t>
  </si>
  <si>
    <t>Long Jump</t>
  </si>
  <si>
    <t>11'9"</t>
  </si>
  <si>
    <t>11'7"</t>
  </si>
  <si>
    <t>9'9"</t>
  </si>
  <si>
    <t>11'6"</t>
  </si>
  <si>
    <t>9'5"</t>
  </si>
  <si>
    <t>10'2"</t>
  </si>
  <si>
    <t>10'3"</t>
  </si>
  <si>
    <t>13'2"</t>
  </si>
  <si>
    <t>Shot Put</t>
  </si>
  <si>
    <t>Elyse Folbrecht</t>
  </si>
  <si>
    <t>Discus</t>
  </si>
  <si>
    <t>Summary — auto-pulled from Record tab</t>
  </si>
  <si>
    <t>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</si>
</sst>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>
      <sz val="11.0"/>
      <color theme="1"/>
      <name val="Calibri"/>
    </font>
    <font>
      <b/>
      <sz val="12.0"/>
      <color theme="1"/>
      <name val="Calibri"/>
      <scheme val="minor"/>
    </font>
    <font>
      <sz val="10.0"/>
      <color theme="1"/>
      <name val="Calibri"/>
      <scheme val="minor"/>
    </font>
    <font>
      <b/>
      <sz val="11.0"/>
      <color theme="1"/>
      <name val="Calibri"/>
      <scheme val="minor"/>
    </font>
    <font>
      <i/>
      <sz val="10.0"/>
      <color rgb="FF666666"/>
      <name val="Calibri"/>
      <scheme val="minor"/>
    </font>
    <font/>
    <font>
      <b/>
      <sz val="11.0"/>
      <color rgb="FFFFFFFF"/>
      <name val="Calibri"/>
      <scheme val="minor"/>
    </font>
    <font>
      <b/>
      <sz val="10.0"/>
      <color theme="1"/>
      <name val="Calibri"/>
      <scheme val="minor"/>
    </font>
    <font>
      <sz val="9.0"/>
      <color rgb="FF555555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790E1D"/>
        <bgColor rgb="FF790E1D"/>
      </patternFill>
    </fill>
    <fill>
      <patternFill patternType="solid">
        <fgColor rgb="FFFCE4EC"/>
        <bgColor rgb="FFFCE4EC"/>
      </patternFill>
    </fill>
    <fill>
      <patternFill patternType="solid">
        <fgColor rgb="FFE3F2FD"/>
        <bgColor rgb="FFE3F2FD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0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2" fillId="2" fontId="1" numFmtId="0" xfId="0" applyAlignment="1" applyBorder="1" applyFont="1">
      <alignment horizontal="left" vertical="center"/>
    </xf>
    <xf borderId="3" fillId="0" fontId="7" numFmtId="0" xfId="0" applyBorder="1" applyFont="1"/>
    <xf borderId="4" fillId="0" fontId="7" numFmtId="0" xfId="0" applyBorder="1" applyFont="1"/>
    <xf borderId="5" fillId="2" fontId="8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5" fillId="3" fontId="9" numFmtId="0" xfId="0" applyAlignment="1" applyBorder="1" applyFill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4" fontId="9" numFmtId="0" xfId="0" applyAlignment="1" applyBorder="1" applyFill="1" applyFont="1">
      <alignment horizontal="center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left" readingOrder="0" shrinkToFit="0" vertical="center" wrapText="1"/>
    </xf>
    <xf borderId="5" fillId="0" fontId="2" numFmtId="20" xfId="0" applyAlignment="1" applyBorder="1" applyFont="1" applyNumberFormat="1">
      <alignment horizontal="center" readingOrder="0" shrinkToFit="0" vertical="center" wrapText="1"/>
    </xf>
    <xf borderId="5" fillId="3" fontId="10" numFmtId="0" xfId="0" applyAlignment="1" applyBorder="1" applyFont="1">
      <alignment horizontal="left" shrinkToFit="0" vertical="center" wrapText="1"/>
    </xf>
    <xf borderId="5" fillId="4" fontId="10" numFmtId="0" xfId="0" applyAlignment="1" applyBorder="1" applyFont="1">
      <alignment horizontal="left" shrinkToFit="0" vertical="center" wrapText="1"/>
    </xf>
    <xf borderId="0" fillId="0" fontId="11" numFmtId="0" xfId="0" applyFont="1"/>
  </cellXfs>
  <cellStyles count="1">
    <cellStyle xfId="0" name="Normal" builtinId="0"/>
  </cellStyles>
  <dxfs count="3">
    <dxf>
      <font/>
      <fill>
        <patternFill patternType="solid">
          <fgColor rgb="FFE8F5E9"/>
          <bgColor rgb="FFE8F5E9"/>
        </patternFill>
      </fill>
      <border/>
    </dxf>
    <dxf>
      <font>
        <i/>
        <strike/>
        <color rgb="FF999999"/>
      </font>
      <fill>
        <patternFill patternType="solid">
          <fgColor rgb="FFEEEEEE"/>
          <bgColor rgb="FFEEEEEE"/>
        </patternFill>
      </fill>
      <border/>
    </dxf>
    <dxf>
      <font>
        <b/>
        <color rgb="FF8A6D00"/>
      </font>
      <fill>
        <patternFill patternType="solid">
          <fgColor rgb="FFFFF8E1"/>
          <bgColor rgb="FFFFF8E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0.0"/>
    <col customWidth="1" min="2" max="26" width="8.71"/>
  </cols>
  <sheetData>
    <row r="1" ht="27.75" customHeight="1">
      <c r="A1" s="1" t="s">
        <v>0</v>
      </c>
    </row>
    <row r="2">
      <c r="A2" s="2"/>
    </row>
    <row r="3">
      <c r="A3" s="3" t="s">
        <v>1</v>
      </c>
    </row>
    <row r="4">
      <c r="A4" s="2"/>
    </row>
    <row r="5">
      <c r="A5" s="4" t="s">
        <v>2</v>
      </c>
    </row>
    <row r="6">
      <c r="A6" s="5" t="s">
        <v>3</v>
      </c>
    </row>
    <row r="7">
      <c r="A7" s="5" t="s">
        <v>4</v>
      </c>
    </row>
    <row r="8">
      <c r="A8" s="5" t="s">
        <v>5</v>
      </c>
    </row>
    <row r="9">
      <c r="A9" s="5" t="s">
        <v>6</v>
      </c>
    </row>
    <row r="10">
      <c r="A10" s="5" t="s">
        <v>7</v>
      </c>
    </row>
    <row r="11">
      <c r="A11" s="5" t="s">
        <v>8</v>
      </c>
    </row>
    <row r="12">
      <c r="A12" s="5" t="s">
        <v>9</v>
      </c>
    </row>
    <row r="13">
      <c r="A13" s="2"/>
    </row>
    <row r="14">
      <c r="A14" s="6" t="s">
        <v>10</v>
      </c>
    </row>
    <row r="15">
      <c r="A15" s="5" t="s">
        <v>11</v>
      </c>
    </row>
    <row r="16">
      <c r="A16" s="5" t="s">
        <v>12</v>
      </c>
    </row>
    <row r="17">
      <c r="A17" s="2"/>
    </row>
    <row r="18">
      <c r="A18" s="6" t="s">
        <v>13</v>
      </c>
    </row>
    <row r="19">
      <c r="A19" s="5" t="s">
        <v>14</v>
      </c>
    </row>
    <row r="20">
      <c r="A20" s="5" t="s">
        <v>15</v>
      </c>
    </row>
    <row r="21" ht="15.75" customHeight="1">
      <c r="A21" s="5" t="s">
        <v>16</v>
      </c>
    </row>
    <row r="22" ht="15.75" customHeight="1">
      <c r="A22" s="2"/>
    </row>
    <row r="23" ht="15.75" customHeight="1">
      <c r="A23" s="7" t="s">
        <v>17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8.0"/>
    <col customWidth="1" min="4" max="4" width="14.0"/>
    <col customWidth="1" min="5" max="5" width="12.0"/>
    <col customWidth="1" min="6" max="26" width="8.71"/>
  </cols>
  <sheetData>
    <row r="1" ht="21.75" customHeight="1">
      <c r="A1" s="8" t="s">
        <v>18</v>
      </c>
      <c r="B1" s="9"/>
      <c r="C1" s="9"/>
      <c r="D1" s="9"/>
      <c r="E1" s="10"/>
    </row>
    <row r="2" ht="25.5" customHeight="1">
      <c r="A2" s="11" t="s">
        <v>19</v>
      </c>
      <c r="B2" s="11" t="s">
        <v>20</v>
      </c>
      <c r="C2" s="11" t="s">
        <v>21</v>
      </c>
      <c r="D2" s="11" t="s">
        <v>22</v>
      </c>
      <c r="E2" s="11" t="s">
        <v>23</v>
      </c>
    </row>
    <row r="3">
      <c r="A3" s="12" t="s">
        <v>24</v>
      </c>
      <c r="B3" s="12" t="s">
        <v>25</v>
      </c>
      <c r="C3" s="13" t="s">
        <v>26</v>
      </c>
      <c r="D3" s="14"/>
      <c r="E3" s="12"/>
    </row>
    <row r="4">
      <c r="A4" s="12" t="s">
        <v>24</v>
      </c>
      <c r="B4" s="12" t="s">
        <v>27</v>
      </c>
      <c r="C4" s="13" t="s">
        <v>26</v>
      </c>
      <c r="D4" s="14"/>
      <c r="E4" s="12"/>
    </row>
    <row r="5">
      <c r="A5" s="12" t="s">
        <v>24</v>
      </c>
      <c r="B5" s="12" t="s">
        <v>28</v>
      </c>
      <c r="C5" s="15" t="s">
        <v>29</v>
      </c>
      <c r="D5" s="14"/>
      <c r="E5" s="12"/>
    </row>
    <row r="6">
      <c r="A6" s="12" t="s">
        <v>24</v>
      </c>
      <c r="B6" s="12" t="s">
        <v>30</v>
      </c>
      <c r="C6" s="15" t="s">
        <v>29</v>
      </c>
      <c r="D6" s="14"/>
      <c r="E6" s="12"/>
    </row>
    <row r="7">
      <c r="A7" s="12" t="s">
        <v>31</v>
      </c>
      <c r="B7" s="12" t="s">
        <v>32</v>
      </c>
      <c r="C7" s="13" t="s">
        <v>26</v>
      </c>
      <c r="D7" s="14"/>
      <c r="E7" s="12"/>
    </row>
    <row r="8">
      <c r="A8" s="12" t="s">
        <v>31</v>
      </c>
      <c r="B8" s="12" t="s">
        <v>33</v>
      </c>
      <c r="C8" s="13" t="s">
        <v>26</v>
      </c>
      <c r="D8" s="16">
        <v>15.0</v>
      </c>
      <c r="E8" s="12"/>
    </row>
    <row r="9">
      <c r="A9" s="12" t="s">
        <v>31</v>
      </c>
      <c r="B9" s="12" t="s">
        <v>28</v>
      </c>
      <c r="C9" s="15" t="s">
        <v>29</v>
      </c>
      <c r="D9" s="16">
        <v>13.7</v>
      </c>
      <c r="E9" s="17" t="s">
        <v>34</v>
      </c>
    </row>
    <row r="10">
      <c r="A10" s="12" t="s">
        <v>31</v>
      </c>
      <c r="B10" s="12" t="s">
        <v>35</v>
      </c>
      <c r="C10" s="15" t="s">
        <v>29</v>
      </c>
      <c r="D10" s="14"/>
      <c r="E10" s="12"/>
    </row>
    <row r="11">
      <c r="A11" s="12" t="s">
        <v>31</v>
      </c>
      <c r="B11" s="12" t="s">
        <v>36</v>
      </c>
      <c r="C11" s="15" t="s">
        <v>29</v>
      </c>
      <c r="D11" s="16">
        <v>15.58</v>
      </c>
      <c r="E11" s="17" t="s">
        <v>34</v>
      </c>
    </row>
    <row r="12">
      <c r="A12" s="12"/>
      <c r="B12" s="17" t="s">
        <v>37</v>
      </c>
      <c r="C12" s="15" t="s">
        <v>29</v>
      </c>
      <c r="D12" s="16">
        <v>16.65</v>
      </c>
      <c r="E12" s="17" t="s">
        <v>34</v>
      </c>
    </row>
    <row r="13">
      <c r="A13" s="12" t="s">
        <v>31</v>
      </c>
      <c r="B13" s="12" t="s">
        <v>38</v>
      </c>
      <c r="C13" s="15" t="s">
        <v>29</v>
      </c>
      <c r="D13" s="14"/>
      <c r="E13" s="12"/>
    </row>
    <row r="14">
      <c r="A14" s="12"/>
      <c r="B14" s="17" t="s">
        <v>39</v>
      </c>
      <c r="C14" s="15"/>
      <c r="D14" s="16">
        <v>13.9</v>
      </c>
      <c r="E14" s="17" t="s">
        <v>34</v>
      </c>
    </row>
    <row r="15">
      <c r="A15" s="12" t="s">
        <v>31</v>
      </c>
      <c r="B15" s="12" t="s">
        <v>40</v>
      </c>
      <c r="C15" s="15" t="s">
        <v>29</v>
      </c>
      <c r="D15" s="16">
        <v>14.71</v>
      </c>
      <c r="E15" s="12"/>
    </row>
    <row r="16">
      <c r="A16" s="12" t="s">
        <v>31</v>
      </c>
      <c r="B16" s="12" t="s">
        <v>41</v>
      </c>
      <c r="C16" s="15" t="s">
        <v>29</v>
      </c>
      <c r="D16" s="16">
        <v>13.25</v>
      </c>
      <c r="E16" s="12"/>
    </row>
    <row r="17">
      <c r="A17" s="12" t="s">
        <v>31</v>
      </c>
      <c r="B17" s="12" t="s">
        <v>42</v>
      </c>
      <c r="C17" s="15" t="s">
        <v>29</v>
      </c>
      <c r="D17" s="16">
        <v>15.94</v>
      </c>
      <c r="E17" s="12"/>
    </row>
    <row r="18">
      <c r="A18" s="12" t="s">
        <v>31</v>
      </c>
      <c r="B18" s="12" t="s">
        <v>43</v>
      </c>
      <c r="C18" s="15" t="s">
        <v>29</v>
      </c>
      <c r="D18" s="16">
        <v>15.46</v>
      </c>
      <c r="E18" s="12"/>
    </row>
    <row r="19">
      <c r="A19" s="12" t="s">
        <v>31</v>
      </c>
      <c r="B19" s="12" t="s">
        <v>44</v>
      </c>
      <c r="C19" s="15" t="s">
        <v>29</v>
      </c>
      <c r="D19" s="16">
        <v>17.15</v>
      </c>
      <c r="E19" s="12"/>
    </row>
    <row r="20">
      <c r="A20" s="12" t="s">
        <v>31</v>
      </c>
      <c r="B20" s="12" t="s">
        <v>45</v>
      </c>
      <c r="C20" s="15" t="s">
        <v>46</v>
      </c>
      <c r="D20" s="16">
        <v>14.7</v>
      </c>
      <c r="E20" s="12"/>
    </row>
    <row r="21">
      <c r="A21" s="12" t="s">
        <v>31</v>
      </c>
      <c r="B21" s="12" t="s">
        <v>47</v>
      </c>
      <c r="C21" s="15" t="s">
        <v>46</v>
      </c>
      <c r="D21" s="14"/>
      <c r="E21" s="12"/>
    </row>
    <row r="22">
      <c r="A22" s="12" t="s">
        <v>31</v>
      </c>
      <c r="B22" s="12" t="s">
        <v>48</v>
      </c>
      <c r="C22" s="15" t="s">
        <v>46</v>
      </c>
      <c r="D22" s="14"/>
      <c r="E22" s="12"/>
    </row>
    <row r="23" ht="15.75" customHeight="1">
      <c r="A23" s="12" t="s">
        <v>31</v>
      </c>
      <c r="B23" s="12" t="s">
        <v>49</v>
      </c>
      <c r="C23" s="15" t="s">
        <v>46</v>
      </c>
      <c r="D23" s="16">
        <v>12.95</v>
      </c>
      <c r="E23" s="17" t="s">
        <v>34</v>
      </c>
    </row>
    <row r="24" ht="15.75" customHeight="1">
      <c r="A24" s="12" t="s">
        <v>31</v>
      </c>
      <c r="B24" s="12" t="s">
        <v>50</v>
      </c>
      <c r="C24" s="15" t="s">
        <v>46</v>
      </c>
      <c r="D24" s="14"/>
      <c r="E24" s="12"/>
    </row>
    <row r="25" ht="15.75" customHeight="1">
      <c r="A25" s="12" t="s">
        <v>51</v>
      </c>
      <c r="B25" s="12" t="s">
        <v>52</v>
      </c>
      <c r="C25" s="13" t="s">
        <v>26</v>
      </c>
      <c r="D25" s="14"/>
      <c r="E25" s="12"/>
    </row>
    <row r="26" ht="15.75" customHeight="1">
      <c r="A26" s="12" t="s">
        <v>51</v>
      </c>
      <c r="B26" s="17" t="s">
        <v>53</v>
      </c>
      <c r="C26" s="13" t="s">
        <v>26</v>
      </c>
      <c r="D26" s="16" t="s">
        <v>54</v>
      </c>
      <c r="E26" s="17" t="s">
        <v>34</v>
      </c>
    </row>
    <row r="27" ht="15.75" customHeight="1">
      <c r="A27" s="12" t="s">
        <v>51</v>
      </c>
      <c r="B27" s="12" t="s">
        <v>55</v>
      </c>
      <c r="C27" s="13" t="s">
        <v>26</v>
      </c>
      <c r="D27" s="16" t="s">
        <v>56</v>
      </c>
      <c r="E27" s="17" t="s">
        <v>34</v>
      </c>
    </row>
    <row r="28" ht="15.75" customHeight="1">
      <c r="A28" s="12" t="s">
        <v>51</v>
      </c>
      <c r="B28" s="12" t="s">
        <v>36</v>
      </c>
      <c r="C28" s="15" t="s">
        <v>29</v>
      </c>
      <c r="D28" s="18">
        <v>0.23958333333333334</v>
      </c>
      <c r="E28" s="17" t="s">
        <v>34</v>
      </c>
    </row>
    <row r="29" ht="15.75" customHeight="1">
      <c r="A29" s="12" t="s">
        <v>51</v>
      </c>
      <c r="B29" s="12" t="s">
        <v>57</v>
      </c>
      <c r="C29" s="15" t="s">
        <v>29</v>
      </c>
      <c r="D29" s="18">
        <v>0.24166666666666667</v>
      </c>
      <c r="E29" s="17" t="s">
        <v>34</v>
      </c>
    </row>
    <row r="30" ht="15.75" customHeight="1">
      <c r="A30" s="12" t="s">
        <v>58</v>
      </c>
      <c r="B30" s="12" t="s">
        <v>59</v>
      </c>
      <c r="C30" s="13" t="s">
        <v>60</v>
      </c>
      <c r="D30" s="14"/>
      <c r="E30" s="12"/>
    </row>
    <row r="31" ht="15.75" customHeight="1">
      <c r="A31" s="12" t="s">
        <v>58</v>
      </c>
      <c r="B31" s="12" t="s">
        <v>40</v>
      </c>
      <c r="C31" s="15" t="s">
        <v>29</v>
      </c>
      <c r="D31" s="18">
        <v>0.05138888888888889</v>
      </c>
      <c r="E31" s="17" t="s">
        <v>34</v>
      </c>
    </row>
    <row r="32" ht="15.75" customHeight="1">
      <c r="A32" s="12" t="s">
        <v>58</v>
      </c>
      <c r="B32" s="12" t="s">
        <v>61</v>
      </c>
      <c r="C32" s="15" t="s">
        <v>46</v>
      </c>
      <c r="D32" s="14"/>
      <c r="E32" s="12"/>
    </row>
    <row r="33" ht="15.75" customHeight="1">
      <c r="A33" s="12" t="s">
        <v>58</v>
      </c>
      <c r="B33" s="12" t="s">
        <v>47</v>
      </c>
      <c r="C33" s="15" t="s">
        <v>46</v>
      </c>
      <c r="D33" s="14"/>
      <c r="E33" s="12"/>
    </row>
    <row r="34" ht="15.75" customHeight="1">
      <c r="A34" s="12" t="s">
        <v>58</v>
      </c>
      <c r="B34" s="12" t="s">
        <v>50</v>
      </c>
      <c r="C34" s="15" t="s">
        <v>46</v>
      </c>
      <c r="D34" s="14"/>
      <c r="E34" s="12"/>
    </row>
    <row r="35" ht="15.75" customHeight="1">
      <c r="A35" s="12" t="s">
        <v>62</v>
      </c>
      <c r="B35" s="12" t="s">
        <v>63</v>
      </c>
      <c r="C35" s="19" t="s">
        <v>64</v>
      </c>
      <c r="D35" s="16" t="s">
        <v>65</v>
      </c>
      <c r="E35" s="17" t="s">
        <v>34</v>
      </c>
    </row>
    <row r="36" ht="15.75" customHeight="1">
      <c r="A36" s="12" t="s">
        <v>62</v>
      </c>
      <c r="B36" s="12" t="s">
        <v>66</v>
      </c>
      <c r="C36" s="19" t="s">
        <v>67</v>
      </c>
      <c r="D36" s="16" t="s">
        <v>68</v>
      </c>
      <c r="E36" s="12"/>
    </row>
    <row r="37" ht="15.75" customHeight="1">
      <c r="A37" s="12" t="s">
        <v>62</v>
      </c>
      <c r="B37" s="12" t="s">
        <v>69</v>
      </c>
      <c r="C37" s="20" t="s">
        <v>70</v>
      </c>
      <c r="D37" s="16">
        <v>55.97</v>
      </c>
      <c r="E37" s="17" t="s">
        <v>34</v>
      </c>
    </row>
    <row r="38" ht="15.75" customHeight="1">
      <c r="A38" s="12" t="s">
        <v>62</v>
      </c>
      <c r="B38" s="12" t="s">
        <v>71</v>
      </c>
      <c r="C38" s="20" t="s">
        <v>72</v>
      </c>
      <c r="D38" s="16">
        <v>59.0</v>
      </c>
      <c r="E38" s="17" t="s">
        <v>34</v>
      </c>
    </row>
    <row r="39" ht="15.75" customHeight="1">
      <c r="A39" s="12" t="s">
        <v>73</v>
      </c>
      <c r="B39" s="12" t="s">
        <v>32</v>
      </c>
      <c r="C39" s="13" t="s">
        <v>26</v>
      </c>
      <c r="D39" s="16">
        <v>34.45</v>
      </c>
      <c r="E39" s="12"/>
    </row>
    <row r="40" ht="15.75" customHeight="1">
      <c r="A40" s="12" t="s">
        <v>73</v>
      </c>
      <c r="B40" s="12" t="s">
        <v>74</v>
      </c>
      <c r="C40" s="13" t="s">
        <v>26</v>
      </c>
      <c r="D40" s="16">
        <v>31.81</v>
      </c>
      <c r="E40" s="12"/>
    </row>
    <row r="41" ht="15.75" customHeight="1">
      <c r="A41" s="12" t="s">
        <v>73</v>
      </c>
      <c r="B41" s="12" t="s">
        <v>25</v>
      </c>
      <c r="C41" s="13" t="s">
        <v>26</v>
      </c>
      <c r="D41" s="16">
        <v>29.66</v>
      </c>
      <c r="E41" s="17" t="s">
        <v>34</v>
      </c>
    </row>
    <row r="42" ht="15.75" customHeight="1">
      <c r="A42" s="12" t="s">
        <v>73</v>
      </c>
      <c r="B42" s="17" t="s">
        <v>75</v>
      </c>
      <c r="C42" s="13" t="s">
        <v>26</v>
      </c>
      <c r="D42" s="16">
        <v>34.08</v>
      </c>
      <c r="E42" s="12"/>
    </row>
    <row r="43" ht="15.75" customHeight="1">
      <c r="A43" s="12" t="s">
        <v>73</v>
      </c>
      <c r="B43" s="12" t="s">
        <v>33</v>
      </c>
      <c r="C43" s="13" t="s">
        <v>26</v>
      </c>
      <c r="D43" s="16">
        <v>34.15</v>
      </c>
      <c r="E43" s="12"/>
    </row>
    <row r="44" ht="15.75" customHeight="1">
      <c r="A44" s="12" t="s">
        <v>73</v>
      </c>
      <c r="B44" s="12" t="s">
        <v>59</v>
      </c>
      <c r="C44" s="13" t="s">
        <v>60</v>
      </c>
      <c r="D44" s="14"/>
      <c r="E44" s="12"/>
    </row>
    <row r="45" ht="15.75" customHeight="1">
      <c r="A45" s="12" t="s">
        <v>73</v>
      </c>
      <c r="B45" s="17" t="s">
        <v>39</v>
      </c>
      <c r="C45" s="15" t="s">
        <v>29</v>
      </c>
      <c r="D45" s="16">
        <v>31.82</v>
      </c>
      <c r="E45" s="12"/>
    </row>
    <row r="46" ht="15.75" customHeight="1">
      <c r="A46" s="12" t="s">
        <v>73</v>
      </c>
      <c r="B46" s="17" t="s">
        <v>76</v>
      </c>
      <c r="C46" s="15" t="s">
        <v>29</v>
      </c>
      <c r="D46" s="16">
        <v>27.65</v>
      </c>
      <c r="E46" s="17" t="s">
        <v>34</v>
      </c>
    </row>
    <row r="47" ht="15.75" customHeight="1">
      <c r="A47" s="12" t="s">
        <v>73</v>
      </c>
      <c r="B47" s="12" t="s">
        <v>40</v>
      </c>
      <c r="C47" s="15" t="s">
        <v>29</v>
      </c>
      <c r="D47" s="16">
        <v>31.78</v>
      </c>
      <c r="E47" s="12"/>
    </row>
    <row r="48" ht="15.75" customHeight="1">
      <c r="A48" s="12" t="s">
        <v>73</v>
      </c>
      <c r="B48" s="12" t="s">
        <v>57</v>
      </c>
      <c r="C48" s="15" t="s">
        <v>29</v>
      </c>
      <c r="D48" s="16">
        <v>32.55</v>
      </c>
      <c r="E48" s="12"/>
    </row>
    <row r="49" ht="15.75" customHeight="1">
      <c r="A49" s="12" t="s">
        <v>73</v>
      </c>
      <c r="B49" s="12" t="s">
        <v>41</v>
      </c>
      <c r="C49" s="15" t="s">
        <v>29</v>
      </c>
      <c r="D49" s="16">
        <v>27.75</v>
      </c>
      <c r="E49" s="17" t="s">
        <v>34</v>
      </c>
    </row>
    <row r="50" ht="15.75" customHeight="1">
      <c r="A50" s="12" t="s">
        <v>73</v>
      </c>
      <c r="B50" s="12" t="s">
        <v>43</v>
      </c>
      <c r="C50" s="15" t="s">
        <v>29</v>
      </c>
      <c r="D50" s="16">
        <v>32.0</v>
      </c>
      <c r="E50" s="12"/>
    </row>
    <row r="51" ht="15.75" customHeight="1">
      <c r="A51" s="12" t="s">
        <v>73</v>
      </c>
      <c r="B51" s="12" t="s">
        <v>45</v>
      </c>
      <c r="C51" s="15" t="s">
        <v>46</v>
      </c>
      <c r="D51" s="16">
        <v>31.99</v>
      </c>
      <c r="E51" s="17" t="s">
        <v>34</v>
      </c>
    </row>
    <row r="52" ht="15.75" customHeight="1">
      <c r="A52" s="12" t="s">
        <v>73</v>
      </c>
      <c r="B52" s="17" t="s">
        <v>77</v>
      </c>
      <c r="C52" s="15" t="s">
        <v>46</v>
      </c>
      <c r="D52" s="16">
        <v>30.09</v>
      </c>
      <c r="E52" s="17" t="s">
        <v>34</v>
      </c>
    </row>
    <row r="53" ht="15.75" customHeight="1">
      <c r="A53" s="12" t="s">
        <v>73</v>
      </c>
      <c r="B53" s="12" t="s">
        <v>49</v>
      </c>
      <c r="C53" s="15" t="s">
        <v>46</v>
      </c>
      <c r="D53" s="16">
        <v>29.16</v>
      </c>
      <c r="E53" s="12"/>
    </row>
    <row r="54" ht="15.75" customHeight="1">
      <c r="A54" s="12" t="s">
        <v>73</v>
      </c>
      <c r="B54" s="12" t="s">
        <v>50</v>
      </c>
      <c r="C54" s="15" t="s">
        <v>46</v>
      </c>
      <c r="D54" s="14"/>
      <c r="E54" s="12"/>
    </row>
    <row r="55" ht="15.75" customHeight="1">
      <c r="A55" s="12" t="s">
        <v>78</v>
      </c>
      <c r="B55" s="17" t="s">
        <v>53</v>
      </c>
      <c r="C55" s="13" t="s">
        <v>26</v>
      </c>
      <c r="D55" s="18">
        <v>0.12152777777777778</v>
      </c>
      <c r="E55" s="17" t="s">
        <v>34</v>
      </c>
    </row>
    <row r="56" ht="15.75" customHeight="1">
      <c r="A56" s="12" t="s">
        <v>78</v>
      </c>
      <c r="B56" s="17" t="s">
        <v>79</v>
      </c>
      <c r="C56" s="13" t="s">
        <v>26</v>
      </c>
      <c r="D56" s="18">
        <v>0.13680555555555557</v>
      </c>
      <c r="E56" s="17"/>
    </row>
    <row r="57" ht="15.75" customHeight="1">
      <c r="A57" s="12" t="s">
        <v>78</v>
      </c>
      <c r="B57" s="12" t="s">
        <v>36</v>
      </c>
      <c r="C57" s="15" t="s">
        <v>29</v>
      </c>
      <c r="D57" s="18">
        <v>0.1111111111111111</v>
      </c>
      <c r="E57" s="17" t="s">
        <v>34</v>
      </c>
    </row>
    <row r="58" ht="15.75" customHeight="1">
      <c r="A58" s="12" t="s">
        <v>78</v>
      </c>
      <c r="B58" s="12" t="s">
        <v>38</v>
      </c>
      <c r="C58" s="15" t="s">
        <v>29</v>
      </c>
      <c r="D58" s="18">
        <v>0.1284722222222222</v>
      </c>
      <c r="E58" s="12"/>
    </row>
    <row r="59" ht="15.75" customHeight="1">
      <c r="A59" s="12" t="s">
        <v>78</v>
      </c>
      <c r="B59" s="12" t="s">
        <v>30</v>
      </c>
      <c r="C59" s="15" t="s">
        <v>29</v>
      </c>
      <c r="D59" s="18">
        <v>0.09861111111111111</v>
      </c>
      <c r="E59" s="17" t="s">
        <v>34</v>
      </c>
    </row>
    <row r="60" ht="15.75" customHeight="1">
      <c r="A60" s="12" t="s">
        <v>78</v>
      </c>
      <c r="B60" s="12" t="s">
        <v>42</v>
      </c>
      <c r="C60" s="15" t="s">
        <v>29</v>
      </c>
      <c r="D60" s="18">
        <v>0.12986111111111112</v>
      </c>
      <c r="E60" s="12"/>
    </row>
    <row r="61" ht="15.75" customHeight="1">
      <c r="A61" s="12" t="s">
        <v>78</v>
      </c>
      <c r="B61" s="17" t="s">
        <v>80</v>
      </c>
      <c r="C61" s="15" t="s">
        <v>46</v>
      </c>
      <c r="D61" s="18">
        <v>0.11736111111111111</v>
      </c>
      <c r="E61" s="17" t="s">
        <v>34</v>
      </c>
    </row>
    <row r="62" ht="15.75" customHeight="1">
      <c r="A62" s="12" t="s">
        <v>78</v>
      </c>
      <c r="B62" s="12" t="s">
        <v>44</v>
      </c>
      <c r="C62" s="15" t="s">
        <v>29</v>
      </c>
      <c r="D62" s="18">
        <v>0.1423611111111111</v>
      </c>
      <c r="E62" s="17" t="s">
        <v>34</v>
      </c>
    </row>
    <row r="63" ht="15.75" customHeight="1">
      <c r="A63" s="12" t="s">
        <v>81</v>
      </c>
      <c r="B63" s="12" t="s">
        <v>63</v>
      </c>
      <c r="C63" s="19" t="s">
        <v>82</v>
      </c>
      <c r="D63" s="18">
        <v>0.09652777777777778</v>
      </c>
      <c r="E63" s="17" t="s">
        <v>34</v>
      </c>
    </row>
    <row r="64" ht="15.75" customHeight="1">
      <c r="A64" s="12" t="s">
        <v>81</v>
      </c>
      <c r="B64" s="12" t="s">
        <v>69</v>
      </c>
      <c r="C64" s="20" t="s">
        <v>83</v>
      </c>
      <c r="D64" s="18">
        <v>0.08611111111111111</v>
      </c>
      <c r="E64" s="12"/>
    </row>
    <row r="65" ht="15.75" customHeight="1">
      <c r="A65" s="12" t="s">
        <v>84</v>
      </c>
      <c r="B65" s="12" t="s">
        <v>35</v>
      </c>
      <c r="C65" s="15" t="s">
        <v>29</v>
      </c>
      <c r="D65" s="14"/>
      <c r="E65" s="12"/>
    </row>
    <row r="66" ht="15.75" customHeight="1">
      <c r="A66" s="12" t="s">
        <v>85</v>
      </c>
      <c r="B66" s="12" t="s">
        <v>32</v>
      </c>
      <c r="C66" s="13" t="s">
        <v>26</v>
      </c>
      <c r="D66" s="16" t="s">
        <v>86</v>
      </c>
      <c r="E66" s="12"/>
    </row>
    <row r="67" ht="15.75" customHeight="1">
      <c r="A67" s="12" t="s">
        <v>85</v>
      </c>
      <c r="B67" s="12" t="s">
        <v>74</v>
      </c>
      <c r="C67" s="13" t="s">
        <v>26</v>
      </c>
      <c r="D67" s="16" t="s">
        <v>87</v>
      </c>
      <c r="E67" s="12"/>
    </row>
    <row r="68" ht="15.75" customHeight="1">
      <c r="A68" s="12" t="s">
        <v>85</v>
      </c>
      <c r="B68" s="12" t="s">
        <v>52</v>
      </c>
      <c r="C68" s="13" t="s">
        <v>26</v>
      </c>
      <c r="D68" s="14"/>
      <c r="E68" s="12"/>
    </row>
    <row r="69" ht="15.75" customHeight="1">
      <c r="A69" s="12" t="s">
        <v>85</v>
      </c>
      <c r="B69" s="12" t="s">
        <v>55</v>
      </c>
      <c r="C69" s="13" t="s">
        <v>26</v>
      </c>
      <c r="D69" s="16" t="s">
        <v>88</v>
      </c>
      <c r="E69" s="12"/>
    </row>
    <row r="70" ht="15.75" customHeight="1">
      <c r="A70" s="12" t="s">
        <v>85</v>
      </c>
      <c r="B70" s="17" t="s">
        <v>53</v>
      </c>
      <c r="C70" s="13" t="s">
        <v>26</v>
      </c>
      <c r="D70" s="16" t="s">
        <v>89</v>
      </c>
      <c r="E70" s="12"/>
    </row>
    <row r="71" ht="15.75" customHeight="1">
      <c r="A71" s="12" t="s">
        <v>85</v>
      </c>
      <c r="B71" s="12" t="s">
        <v>33</v>
      </c>
      <c r="C71" s="13" t="s">
        <v>26</v>
      </c>
      <c r="D71" s="16" t="s">
        <v>90</v>
      </c>
      <c r="E71" s="12"/>
    </row>
    <row r="72" ht="15.75" customHeight="1">
      <c r="A72" s="12" t="s">
        <v>85</v>
      </c>
      <c r="B72" s="12" t="s">
        <v>35</v>
      </c>
      <c r="C72" s="15" t="s">
        <v>29</v>
      </c>
      <c r="D72" s="14"/>
      <c r="E72" s="12"/>
    </row>
    <row r="73" ht="15.75" customHeight="1">
      <c r="A73" s="12" t="s">
        <v>85</v>
      </c>
      <c r="B73" s="12" t="s">
        <v>57</v>
      </c>
      <c r="C73" s="15" t="s">
        <v>29</v>
      </c>
      <c r="D73" s="16" t="s">
        <v>91</v>
      </c>
      <c r="E73" s="12"/>
    </row>
    <row r="74" ht="15.75" customHeight="1">
      <c r="A74" s="12" t="s">
        <v>85</v>
      </c>
      <c r="B74" s="12" t="s">
        <v>43</v>
      </c>
      <c r="C74" s="15" t="s">
        <v>29</v>
      </c>
      <c r="D74" s="16" t="s">
        <v>92</v>
      </c>
      <c r="E74" s="17" t="s">
        <v>34</v>
      </c>
    </row>
    <row r="75" ht="15.75" customHeight="1">
      <c r="A75" s="12" t="s">
        <v>85</v>
      </c>
      <c r="B75" s="17" t="s">
        <v>80</v>
      </c>
      <c r="C75" s="15" t="s">
        <v>46</v>
      </c>
      <c r="D75" s="16" t="s">
        <v>93</v>
      </c>
      <c r="E75" s="12"/>
    </row>
    <row r="76" ht="15.75" customHeight="1">
      <c r="A76" s="12" t="s">
        <v>85</v>
      </c>
      <c r="B76" s="12" t="s">
        <v>48</v>
      </c>
      <c r="C76" s="15" t="s">
        <v>46</v>
      </c>
      <c r="D76" s="14"/>
      <c r="E76" s="12"/>
    </row>
    <row r="77" ht="15.75" customHeight="1">
      <c r="A77" s="12" t="s">
        <v>94</v>
      </c>
      <c r="B77" s="12" t="s">
        <v>95</v>
      </c>
      <c r="C77" s="13" t="s">
        <v>26</v>
      </c>
      <c r="D77" s="14"/>
      <c r="E77" s="12"/>
    </row>
    <row r="78" ht="15.75" customHeight="1">
      <c r="A78" s="12" t="s">
        <v>94</v>
      </c>
      <c r="B78" s="12" t="s">
        <v>44</v>
      </c>
      <c r="C78" s="15" t="s">
        <v>29</v>
      </c>
      <c r="D78" s="14"/>
      <c r="E78" s="12"/>
    </row>
    <row r="79" ht="15.75" customHeight="1">
      <c r="A79" s="12" t="s">
        <v>96</v>
      </c>
      <c r="B79" s="12" t="s">
        <v>95</v>
      </c>
      <c r="C79" s="13" t="s">
        <v>26</v>
      </c>
      <c r="D79" s="14"/>
      <c r="E79" s="12"/>
    </row>
    <row r="80" ht="15.75" customHeight="1">
      <c r="A80" s="12" t="s">
        <v>96</v>
      </c>
      <c r="B80" s="12" t="s">
        <v>27</v>
      </c>
      <c r="C80" s="13" t="s">
        <v>26</v>
      </c>
      <c r="D80" s="14"/>
      <c r="E80" s="12"/>
    </row>
    <row r="81" ht="15.75" customHeight="1">
      <c r="A81" s="12" t="s">
        <v>96</v>
      </c>
      <c r="B81" s="12" t="s">
        <v>38</v>
      </c>
      <c r="C81" s="15" t="s">
        <v>29</v>
      </c>
      <c r="D81" s="14"/>
      <c r="E81" s="12"/>
    </row>
    <row r="82" ht="15.75" customHeight="1">
      <c r="A82" s="12" t="s">
        <v>96</v>
      </c>
      <c r="B82" s="12" t="s">
        <v>40</v>
      </c>
      <c r="C82" s="15" t="s">
        <v>29</v>
      </c>
      <c r="D82" s="14"/>
      <c r="E82" s="12"/>
    </row>
    <row r="83" ht="15.75" customHeight="1">
      <c r="A83" s="12" t="s">
        <v>96</v>
      </c>
      <c r="B83" s="12" t="s">
        <v>57</v>
      </c>
      <c r="C83" s="15" t="s">
        <v>29</v>
      </c>
      <c r="D83" s="14"/>
      <c r="E83" s="12"/>
    </row>
    <row r="84" ht="15.75" customHeight="1">
      <c r="A84" s="12" t="s">
        <v>96</v>
      </c>
      <c r="B84" s="12" t="s">
        <v>42</v>
      </c>
      <c r="C84" s="15" t="s">
        <v>29</v>
      </c>
      <c r="D84" s="14"/>
      <c r="E84" s="12"/>
    </row>
    <row r="85" ht="15.75" customHeight="1">
      <c r="A85" s="12" t="s">
        <v>96</v>
      </c>
      <c r="B85" s="12" t="s">
        <v>44</v>
      </c>
      <c r="C85" s="15" t="s">
        <v>29</v>
      </c>
      <c r="D85" s="14"/>
      <c r="E85" s="12"/>
    </row>
    <row r="86" ht="15.75" customHeight="1">
      <c r="A86" s="12" t="s">
        <v>96</v>
      </c>
      <c r="B86" s="12" t="s">
        <v>61</v>
      </c>
      <c r="C86" s="15" t="s">
        <v>46</v>
      </c>
      <c r="D86" s="14"/>
      <c r="E86" s="12"/>
    </row>
    <row r="87" ht="15.75" customHeight="1">
      <c r="A87" s="12" t="s">
        <v>96</v>
      </c>
      <c r="B87" s="12" t="s">
        <v>47</v>
      </c>
      <c r="C87" s="15" t="s">
        <v>46</v>
      </c>
      <c r="D87" s="14"/>
      <c r="E87" s="12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">
    <mergeCell ref="A1:E1"/>
  </mergeCells>
  <conditionalFormatting sqref="A3:E87">
    <cfRule type="expression" dxfId="0" priority="1">
      <formula>AND($D3&lt;&gt;"",NOT(OR(ISNUMBER(SEARCH("DNS",$E3)),ISNUMBER(SEARCH("DNF",$E3)),ISNUMBER(SEARCH("SCR",$E3)))))</formula>
    </cfRule>
  </conditionalFormatting>
  <conditionalFormatting sqref="A3:E87">
    <cfRule type="expression" dxfId="1" priority="2" stopIfTrue="1">
      <formula>OR(ISNUMBER(SEARCH("DNS",$E3)),ISNUMBER(SEARCH("DNF",$E3)),ISNUMBER(SEARCH("SCR",$E3)))</formula>
    </cfRule>
  </conditionalFormatting>
  <conditionalFormatting sqref="D3:D87">
    <cfRule type="expression" dxfId="2" priority="3">
      <formula>ISNUMBER(SEARCH("PR",$E3))</formula>
    </cfRule>
  </conditionalFormatting>
  <dataValidations>
    <dataValidation type="list" allowBlank="1" sqref="E3:E87">
      <formula1>"PR,DNS,DNF,SCR"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2" width="8.0"/>
    <col customWidth="1" min="3" max="3" width="22.0"/>
    <col customWidth="1" min="4" max="4" width="14.0"/>
    <col customWidth="1" min="5" max="5" width="12.0"/>
    <col customWidth="1" min="6" max="26" width="8.71"/>
  </cols>
  <sheetData>
    <row r="1" ht="21.75" customHeight="1">
      <c r="A1" s="8" t="s">
        <v>97</v>
      </c>
      <c r="B1" s="9"/>
      <c r="C1" s="9"/>
      <c r="D1" s="9"/>
      <c r="E1" s="10"/>
    </row>
    <row r="2">
      <c r="A2" s="11" t="s">
        <v>19</v>
      </c>
      <c r="B2" s="11" t="s">
        <v>21</v>
      </c>
      <c r="C2" s="11" t="s">
        <v>20</v>
      </c>
      <c r="D2" s="11" t="s">
        <v>98</v>
      </c>
      <c r="E2" s="11" t="s">
        <v>23</v>
      </c>
    </row>
    <row r="3">
      <c r="A3" s="21" t="str">
        <f>IFERROR(__xludf.DUMMYFUNCTION("IFERROR(SORT(FILTER(Record!A3:E87,Record!D3:D87&lt;&gt;""""),1,1),"""")"),"100m Dash")</f>
        <v>100m Dash</v>
      </c>
      <c r="B3" s="21" t="str">
        <f>IFERROR(__xludf.DUMMYFUNCTION("""COMPUTED_VALUE"""),"Perrin Light-Haberstroh")</f>
        <v>Perrin Light-Haberstroh</v>
      </c>
      <c r="C3" s="21" t="str">
        <f>IFERROR(__xludf.DUMMYFUNCTION("""COMPUTED_VALUE"""),"6/7G")</f>
        <v>6/7G</v>
      </c>
      <c r="D3" s="21">
        <f>IFERROR(__xludf.DUMMYFUNCTION("""COMPUTED_VALUE"""),15.0)</f>
        <v>15</v>
      </c>
      <c r="E3" s="21"/>
    </row>
    <row r="4">
      <c r="A4" s="21" t="str">
        <f>IFERROR(__xludf.DUMMYFUNCTION("""COMPUTED_VALUE"""),"100m Dash")</f>
        <v>100m Dash</v>
      </c>
      <c r="B4" s="21" t="str">
        <f>IFERROR(__xludf.DUMMYFUNCTION("""COMPUTED_VALUE"""),"Ari Klapperich-Khuu")</f>
        <v>Ari Klapperich-Khuu</v>
      </c>
      <c r="C4" s="21" t="str">
        <f>IFERROR(__xludf.DUMMYFUNCTION("""COMPUTED_VALUE"""),"6/7B")</f>
        <v>6/7B</v>
      </c>
      <c r="D4" s="21">
        <f>IFERROR(__xludf.DUMMYFUNCTION("""COMPUTED_VALUE"""),13.7)</f>
        <v>13.7</v>
      </c>
      <c r="E4" s="21" t="str">
        <f>IFERROR(__xludf.DUMMYFUNCTION("""COMPUTED_VALUE"""),"PR")</f>
        <v>PR</v>
      </c>
    </row>
    <row r="5">
      <c r="A5" s="21" t="str">
        <f>IFERROR(__xludf.DUMMYFUNCTION("""COMPUTED_VALUE"""),"100m Dash")</f>
        <v>100m Dash</v>
      </c>
      <c r="B5" s="21" t="str">
        <f>IFERROR(__xludf.DUMMYFUNCTION("""COMPUTED_VALUE"""),"Ben Surla")</f>
        <v>Ben Surla</v>
      </c>
      <c r="C5" s="21" t="str">
        <f>IFERROR(__xludf.DUMMYFUNCTION("""COMPUTED_VALUE"""),"6/7B")</f>
        <v>6/7B</v>
      </c>
      <c r="D5" s="21">
        <f>IFERROR(__xludf.DUMMYFUNCTION("""COMPUTED_VALUE"""),15.58)</f>
        <v>15.58</v>
      </c>
      <c r="E5" s="21" t="str">
        <f>IFERROR(__xludf.DUMMYFUNCTION("""COMPUTED_VALUE"""),"PR")</f>
        <v>PR</v>
      </c>
    </row>
    <row r="6">
      <c r="A6" s="21" t="str">
        <f>IFERROR(__xludf.DUMMYFUNCTION("""COMPUTED_VALUE"""),"100m Dash")</f>
        <v>100m Dash</v>
      </c>
      <c r="B6" s="21" t="str">
        <f>IFERROR(__xludf.DUMMYFUNCTION("""COMPUTED_VALUE"""),"Devin Lindquist")</f>
        <v>Devin Lindquist</v>
      </c>
      <c r="C6" s="21" t="str">
        <f>IFERROR(__xludf.DUMMYFUNCTION("""COMPUTED_VALUE"""),"6/7B")</f>
        <v>6/7B</v>
      </c>
      <c r="D6" s="21">
        <f>IFERROR(__xludf.DUMMYFUNCTION("""COMPUTED_VALUE"""),14.71)</f>
        <v>14.71</v>
      </c>
      <c r="E6" s="21"/>
    </row>
    <row r="7">
      <c r="A7" s="21" t="str">
        <f>IFERROR(__xludf.DUMMYFUNCTION("""COMPUTED_VALUE"""),"100m Dash")</f>
        <v>100m Dash</v>
      </c>
      <c r="B7" s="21" t="str">
        <f>IFERROR(__xludf.DUMMYFUNCTION("""COMPUTED_VALUE"""),"Kai Dinger")</f>
        <v>Kai Dinger</v>
      </c>
      <c r="C7" s="21" t="str">
        <f>IFERROR(__xludf.DUMMYFUNCTION("""COMPUTED_VALUE"""),"6/7B")</f>
        <v>6/7B</v>
      </c>
      <c r="D7" s="21">
        <f>IFERROR(__xludf.DUMMYFUNCTION("""COMPUTED_VALUE"""),13.25)</f>
        <v>13.25</v>
      </c>
      <c r="E7" s="21"/>
    </row>
    <row r="8">
      <c r="A8" s="21" t="str">
        <f>IFERROR(__xludf.DUMMYFUNCTION("""COMPUTED_VALUE"""),"100m Dash")</f>
        <v>100m Dash</v>
      </c>
      <c r="B8" s="21" t="str">
        <f>IFERROR(__xludf.DUMMYFUNCTION("""COMPUTED_VALUE"""),"Louis Ryan")</f>
        <v>Louis Ryan</v>
      </c>
      <c r="C8" s="21" t="str">
        <f>IFERROR(__xludf.DUMMYFUNCTION("""COMPUTED_VALUE"""),"6/7B")</f>
        <v>6/7B</v>
      </c>
      <c r="D8" s="21">
        <f>IFERROR(__xludf.DUMMYFUNCTION("""COMPUTED_VALUE"""),15.94)</f>
        <v>15.94</v>
      </c>
      <c r="E8" s="21"/>
    </row>
    <row r="9">
      <c r="A9" s="21" t="str">
        <f>IFERROR(__xludf.DUMMYFUNCTION("""COMPUTED_VALUE"""),"100m Dash")</f>
        <v>100m Dash</v>
      </c>
      <c r="B9" s="21" t="str">
        <f>IFERROR(__xludf.DUMMYFUNCTION("""COMPUTED_VALUE"""),"Remy Fortin")</f>
        <v>Remy Fortin</v>
      </c>
      <c r="C9" s="21" t="str">
        <f>IFERROR(__xludf.DUMMYFUNCTION("""COMPUTED_VALUE"""),"6/7B")</f>
        <v>6/7B</v>
      </c>
      <c r="D9" s="21">
        <f>IFERROR(__xludf.DUMMYFUNCTION("""COMPUTED_VALUE"""),15.46)</f>
        <v>15.46</v>
      </c>
      <c r="E9" s="21"/>
    </row>
    <row r="10">
      <c r="A10" s="21" t="str">
        <f>IFERROR(__xludf.DUMMYFUNCTION("""COMPUTED_VALUE"""),"100m Dash")</f>
        <v>100m Dash</v>
      </c>
      <c r="B10" s="21" t="str">
        <f>IFERROR(__xludf.DUMMYFUNCTION("""COMPUTED_VALUE"""),"Reuben Addington")</f>
        <v>Reuben Addington</v>
      </c>
      <c r="C10" s="21" t="str">
        <f>IFERROR(__xludf.DUMMYFUNCTION("""COMPUTED_VALUE"""),"6/7B")</f>
        <v>6/7B</v>
      </c>
      <c r="D10" s="21">
        <f>IFERROR(__xludf.DUMMYFUNCTION("""COMPUTED_VALUE"""),17.15)</f>
        <v>17.15</v>
      </c>
      <c r="E10" s="21"/>
    </row>
    <row r="11">
      <c r="A11" s="21" t="str">
        <f>IFERROR(__xludf.DUMMYFUNCTION("""COMPUTED_VALUE"""),"100m Dash")</f>
        <v>100m Dash</v>
      </c>
      <c r="B11" s="21" t="str">
        <f>IFERROR(__xludf.DUMMYFUNCTION("""COMPUTED_VALUE"""),"Addis Demere")</f>
        <v>Addis Demere</v>
      </c>
      <c r="C11" s="21" t="str">
        <f>IFERROR(__xludf.DUMMYFUNCTION("""COMPUTED_VALUE"""),"8B")</f>
        <v>8B</v>
      </c>
      <c r="D11" s="21">
        <f>IFERROR(__xludf.DUMMYFUNCTION("""COMPUTED_VALUE"""),14.7)</f>
        <v>14.7</v>
      </c>
      <c r="E11" s="21"/>
    </row>
    <row r="12">
      <c r="A12" s="21" t="str">
        <f>IFERROR(__xludf.DUMMYFUNCTION("""COMPUTED_VALUE"""),"100m Dash")</f>
        <v>100m Dash</v>
      </c>
      <c r="B12" s="21" t="str">
        <f>IFERROR(__xludf.DUMMYFUNCTION("""COMPUTED_VALUE"""),"Jin Trenh")</f>
        <v>Jin Trenh</v>
      </c>
      <c r="C12" s="21" t="str">
        <f>IFERROR(__xludf.DUMMYFUNCTION("""COMPUTED_VALUE"""),"8B")</f>
        <v>8B</v>
      </c>
      <c r="D12" s="21">
        <f>IFERROR(__xludf.DUMMYFUNCTION("""COMPUTED_VALUE"""),12.95)</f>
        <v>12.95</v>
      </c>
      <c r="E12" s="21" t="str">
        <f>IFERROR(__xludf.DUMMYFUNCTION("""COMPUTED_VALUE"""),"PR")</f>
        <v>PR</v>
      </c>
    </row>
    <row r="13">
      <c r="A13" s="21" t="str">
        <f>IFERROR(__xludf.DUMMYFUNCTION("""COMPUTED_VALUE"""),"1600m Run")</f>
        <v>1600m Run</v>
      </c>
      <c r="B13" s="21" t="str">
        <f>IFERROR(__xludf.DUMMYFUNCTION("""COMPUTED_VALUE"""),"Amelia")</f>
        <v>Amelia</v>
      </c>
      <c r="C13" s="21" t="str">
        <f>IFERROR(__xludf.DUMMYFUNCTION("""COMPUTED_VALUE"""),"6/7G")</f>
        <v>6/7G</v>
      </c>
      <c r="D13" s="21" t="str">
        <f>IFERROR(__xludf.DUMMYFUNCTION("""COMPUTED_VALUE"""),"6:20.00")</f>
        <v>6:20.00</v>
      </c>
      <c r="E13" s="21" t="str">
        <f>IFERROR(__xludf.DUMMYFUNCTION("""COMPUTED_VALUE"""),"PR")</f>
        <v>PR</v>
      </c>
    </row>
    <row r="14">
      <c r="A14" s="21" t="str">
        <f>IFERROR(__xludf.DUMMYFUNCTION("""COMPUTED_VALUE"""),"1600m Run")</f>
        <v>1600m Run</v>
      </c>
      <c r="B14" s="21" t="str">
        <f>IFERROR(__xludf.DUMMYFUNCTION("""COMPUTED_VALUE"""),"Audrey Roffe")</f>
        <v>Audrey Roffe</v>
      </c>
      <c r="C14" s="21" t="str">
        <f>IFERROR(__xludf.DUMMYFUNCTION("""COMPUTED_VALUE"""),"6/7G")</f>
        <v>6/7G</v>
      </c>
      <c r="D14" s="21" t="str">
        <f>IFERROR(__xludf.DUMMYFUNCTION("""COMPUTED_VALUE"""),"6:24.00")</f>
        <v>6:24.00</v>
      </c>
      <c r="E14" s="21" t="str">
        <f>IFERROR(__xludf.DUMMYFUNCTION("""COMPUTED_VALUE"""),"PR")</f>
        <v>PR</v>
      </c>
    </row>
    <row r="15">
      <c r="A15" s="21" t="str">
        <f>IFERROR(__xludf.DUMMYFUNCTION("""COMPUTED_VALUE"""),"1600m Run")</f>
        <v>1600m Run</v>
      </c>
      <c r="B15" s="21" t="str">
        <f>IFERROR(__xludf.DUMMYFUNCTION("""COMPUTED_VALUE"""),"Ben Surla")</f>
        <v>Ben Surla</v>
      </c>
      <c r="C15" s="21" t="str">
        <f>IFERROR(__xludf.DUMMYFUNCTION("""COMPUTED_VALUE"""),"6/7B")</f>
        <v>6/7B</v>
      </c>
      <c r="D15" s="21">
        <f>IFERROR(__xludf.DUMMYFUNCTION("""COMPUTED_VALUE"""),0.23958333333333334)</f>
        <v>0.2395833333</v>
      </c>
      <c r="E15" s="21" t="str">
        <f>IFERROR(__xludf.DUMMYFUNCTION("""COMPUTED_VALUE"""),"PR")</f>
        <v>PR</v>
      </c>
    </row>
    <row r="16">
      <c r="A16" s="21" t="str">
        <f>IFERROR(__xludf.DUMMYFUNCTION("""COMPUTED_VALUE"""),"1600m Run")</f>
        <v>1600m Run</v>
      </c>
      <c r="B16" s="21" t="str">
        <f>IFERROR(__xludf.DUMMYFUNCTION("""COMPUTED_VALUE"""),"Gabriel Nowariak")</f>
        <v>Gabriel Nowariak</v>
      </c>
      <c r="C16" s="21" t="str">
        <f>IFERROR(__xludf.DUMMYFUNCTION("""COMPUTED_VALUE"""),"6/7B")</f>
        <v>6/7B</v>
      </c>
      <c r="D16" s="21">
        <f>IFERROR(__xludf.DUMMYFUNCTION("""COMPUTED_VALUE"""),0.24166666666666667)</f>
        <v>0.2416666667</v>
      </c>
      <c r="E16" s="21" t="str">
        <f>IFERROR(__xludf.DUMMYFUNCTION("""COMPUTED_VALUE"""),"PR")</f>
        <v>PR</v>
      </c>
    </row>
    <row r="17">
      <c r="A17" s="21" t="str">
        <f>IFERROR(__xludf.DUMMYFUNCTION("""COMPUTED_VALUE"""),"200m Dash")</f>
        <v>200m Dash</v>
      </c>
      <c r="B17" s="21" t="str">
        <f>IFERROR(__xludf.DUMMYFUNCTION("""COMPUTED_VALUE"""),"Alexandra Ebinger")</f>
        <v>Alexandra Ebinger</v>
      </c>
      <c r="C17" s="21" t="str">
        <f>IFERROR(__xludf.DUMMYFUNCTION("""COMPUTED_VALUE"""),"6/7G")</f>
        <v>6/7G</v>
      </c>
      <c r="D17" s="21">
        <f>IFERROR(__xludf.DUMMYFUNCTION("""COMPUTED_VALUE"""),34.45)</f>
        <v>34.45</v>
      </c>
      <c r="E17" s="21"/>
    </row>
    <row r="18">
      <c r="A18" s="21" t="str">
        <f>IFERROR(__xludf.DUMMYFUNCTION("""COMPUTED_VALUE"""),"200m Dash")</f>
        <v>200m Dash</v>
      </c>
      <c r="B18" s="21" t="str">
        <f>IFERROR(__xludf.DUMMYFUNCTION("""COMPUTED_VALUE"""),"Althea Bortel Fielder")</f>
        <v>Althea Bortel Fielder</v>
      </c>
      <c r="C18" s="21" t="str">
        <f>IFERROR(__xludf.DUMMYFUNCTION("""COMPUTED_VALUE"""),"6/7G")</f>
        <v>6/7G</v>
      </c>
      <c r="D18" s="21">
        <f>IFERROR(__xludf.DUMMYFUNCTION("""COMPUTED_VALUE"""),31.81)</f>
        <v>31.81</v>
      </c>
      <c r="E18" s="21"/>
    </row>
    <row r="19">
      <c r="A19" s="21" t="str">
        <f>IFERROR(__xludf.DUMMYFUNCTION("""COMPUTED_VALUE"""),"200m Dash")</f>
        <v>200m Dash</v>
      </c>
      <c r="B19" s="21" t="str">
        <f>IFERROR(__xludf.DUMMYFUNCTION("""COMPUTED_VALUE"""),"Keva Bowron")</f>
        <v>Keva Bowron</v>
      </c>
      <c r="C19" s="21" t="str">
        <f>IFERROR(__xludf.DUMMYFUNCTION("""COMPUTED_VALUE"""),"6/7G")</f>
        <v>6/7G</v>
      </c>
      <c r="D19" s="21">
        <f>IFERROR(__xludf.DUMMYFUNCTION("""COMPUTED_VALUE"""),29.66)</f>
        <v>29.66</v>
      </c>
      <c r="E19" s="21" t="str">
        <f>IFERROR(__xludf.DUMMYFUNCTION("""COMPUTED_VALUE"""),"PR")</f>
        <v>PR</v>
      </c>
    </row>
    <row r="20">
      <c r="A20" s="21" t="str">
        <f>IFERROR(__xludf.DUMMYFUNCTION("""COMPUTED_VALUE"""),"200m Dash")</f>
        <v>200m Dash</v>
      </c>
      <c r="B20" s="21" t="str">
        <f>IFERROR(__xludf.DUMMYFUNCTION("""COMPUTED_VALUE"""),"Vienna")</f>
        <v>Vienna</v>
      </c>
      <c r="C20" s="21" t="str">
        <f>IFERROR(__xludf.DUMMYFUNCTION("""COMPUTED_VALUE"""),"6/7G")</f>
        <v>6/7G</v>
      </c>
      <c r="D20" s="21">
        <f>IFERROR(__xludf.DUMMYFUNCTION("""COMPUTED_VALUE"""),34.08)</f>
        <v>34.08</v>
      </c>
      <c r="E20" s="21"/>
    </row>
    <row r="21" ht="15.75" customHeight="1">
      <c r="A21" s="21" t="str">
        <f>IFERROR(__xludf.DUMMYFUNCTION("""COMPUTED_VALUE"""),"200m Dash")</f>
        <v>200m Dash</v>
      </c>
      <c r="B21" s="21" t="str">
        <f>IFERROR(__xludf.DUMMYFUNCTION("""COMPUTED_VALUE"""),"Perrin Light-Haberstroh")</f>
        <v>Perrin Light-Haberstroh</v>
      </c>
      <c r="C21" s="21" t="str">
        <f>IFERROR(__xludf.DUMMYFUNCTION("""COMPUTED_VALUE"""),"6/7G")</f>
        <v>6/7G</v>
      </c>
      <c r="D21" s="21">
        <f>IFERROR(__xludf.DUMMYFUNCTION("""COMPUTED_VALUE"""),34.15)</f>
        <v>34.15</v>
      </c>
      <c r="E21" s="21"/>
    </row>
    <row r="22" ht="15.75" customHeight="1">
      <c r="A22" s="21" t="str">
        <f>IFERROR(__xludf.DUMMYFUNCTION("""COMPUTED_VALUE"""),"200m Dash")</f>
        <v>200m Dash</v>
      </c>
      <c r="B22" s="21" t="str">
        <f>IFERROR(__xludf.DUMMYFUNCTION("""COMPUTED_VALUE"""),"Isaac Wilson")</f>
        <v>Isaac Wilson</v>
      </c>
      <c r="C22" s="21" t="str">
        <f>IFERROR(__xludf.DUMMYFUNCTION("""COMPUTED_VALUE"""),"6/7B")</f>
        <v>6/7B</v>
      </c>
      <c r="D22" s="21">
        <f>IFERROR(__xludf.DUMMYFUNCTION("""COMPUTED_VALUE"""),31.82)</f>
        <v>31.82</v>
      </c>
      <c r="E22" s="21"/>
    </row>
    <row r="23" ht="15.75" customHeight="1">
      <c r="A23" s="21" t="str">
        <f>IFERROR(__xludf.DUMMYFUNCTION("""COMPUTED_VALUE"""),"200m Dash")</f>
        <v>200m Dash</v>
      </c>
      <c r="B23" s="21" t="str">
        <f>IFERROR(__xludf.DUMMYFUNCTION("""COMPUTED_VALUE"""),"Ari K")</f>
        <v>Ari K</v>
      </c>
      <c r="C23" s="21" t="str">
        <f>IFERROR(__xludf.DUMMYFUNCTION("""COMPUTED_VALUE"""),"6/7B")</f>
        <v>6/7B</v>
      </c>
      <c r="D23" s="21">
        <f>IFERROR(__xludf.DUMMYFUNCTION("""COMPUTED_VALUE"""),27.65)</f>
        <v>27.65</v>
      </c>
      <c r="E23" s="21" t="str">
        <f>IFERROR(__xludf.DUMMYFUNCTION("""COMPUTED_VALUE"""),"PR")</f>
        <v>PR</v>
      </c>
    </row>
    <row r="24" ht="15.75" customHeight="1">
      <c r="A24" s="21" t="str">
        <f>IFERROR(__xludf.DUMMYFUNCTION("""COMPUTED_VALUE"""),"200m Dash")</f>
        <v>200m Dash</v>
      </c>
      <c r="B24" s="21" t="str">
        <f>IFERROR(__xludf.DUMMYFUNCTION("""COMPUTED_VALUE"""),"Devin Lindquist")</f>
        <v>Devin Lindquist</v>
      </c>
      <c r="C24" s="21" t="str">
        <f>IFERROR(__xludf.DUMMYFUNCTION("""COMPUTED_VALUE"""),"6/7B")</f>
        <v>6/7B</v>
      </c>
      <c r="D24" s="21">
        <f>IFERROR(__xludf.DUMMYFUNCTION("""COMPUTED_VALUE"""),31.78)</f>
        <v>31.78</v>
      </c>
      <c r="E24" s="21"/>
    </row>
    <row r="25" ht="15.75" customHeight="1">
      <c r="A25" s="21" t="str">
        <f>IFERROR(__xludf.DUMMYFUNCTION("""COMPUTED_VALUE"""),"200m Dash")</f>
        <v>200m Dash</v>
      </c>
      <c r="B25" s="21" t="str">
        <f>IFERROR(__xludf.DUMMYFUNCTION("""COMPUTED_VALUE"""),"Gabriel Nowariak")</f>
        <v>Gabriel Nowariak</v>
      </c>
      <c r="C25" s="21" t="str">
        <f>IFERROR(__xludf.DUMMYFUNCTION("""COMPUTED_VALUE"""),"6/7B")</f>
        <v>6/7B</v>
      </c>
      <c r="D25" s="21">
        <f>IFERROR(__xludf.DUMMYFUNCTION("""COMPUTED_VALUE"""),32.55)</f>
        <v>32.55</v>
      </c>
      <c r="E25" s="21"/>
    </row>
    <row r="26" ht="15.75" customHeight="1">
      <c r="A26" s="21" t="str">
        <f>IFERROR(__xludf.DUMMYFUNCTION("""COMPUTED_VALUE"""),"200m Dash")</f>
        <v>200m Dash</v>
      </c>
      <c r="B26" s="21" t="str">
        <f>IFERROR(__xludf.DUMMYFUNCTION("""COMPUTED_VALUE"""),"Kai Dinger")</f>
        <v>Kai Dinger</v>
      </c>
      <c r="C26" s="21" t="str">
        <f>IFERROR(__xludf.DUMMYFUNCTION("""COMPUTED_VALUE"""),"6/7B")</f>
        <v>6/7B</v>
      </c>
      <c r="D26" s="21">
        <f>IFERROR(__xludf.DUMMYFUNCTION("""COMPUTED_VALUE"""),27.75)</f>
        <v>27.75</v>
      </c>
      <c r="E26" s="21" t="str">
        <f>IFERROR(__xludf.DUMMYFUNCTION("""COMPUTED_VALUE"""),"PR")</f>
        <v>PR</v>
      </c>
    </row>
    <row r="27" ht="15.75" customHeight="1">
      <c r="A27" s="21" t="str">
        <f>IFERROR(__xludf.DUMMYFUNCTION("""COMPUTED_VALUE"""),"200m Dash")</f>
        <v>200m Dash</v>
      </c>
      <c r="B27" s="21" t="str">
        <f>IFERROR(__xludf.DUMMYFUNCTION("""COMPUTED_VALUE"""),"Remy Fortin")</f>
        <v>Remy Fortin</v>
      </c>
      <c r="C27" s="21" t="str">
        <f>IFERROR(__xludf.DUMMYFUNCTION("""COMPUTED_VALUE"""),"6/7B")</f>
        <v>6/7B</v>
      </c>
      <c r="D27" s="21">
        <f>IFERROR(__xludf.DUMMYFUNCTION("""COMPUTED_VALUE"""),32.0)</f>
        <v>32</v>
      </c>
      <c r="E27" s="21"/>
    </row>
    <row r="28" ht="15.75" customHeight="1">
      <c r="A28" s="21" t="str">
        <f>IFERROR(__xludf.DUMMYFUNCTION("""COMPUTED_VALUE"""),"200m Dash")</f>
        <v>200m Dash</v>
      </c>
      <c r="B28" s="21" t="str">
        <f>IFERROR(__xludf.DUMMYFUNCTION("""COMPUTED_VALUE"""),"Addis Demere")</f>
        <v>Addis Demere</v>
      </c>
      <c r="C28" s="21" t="str">
        <f>IFERROR(__xludf.DUMMYFUNCTION("""COMPUTED_VALUE"""),"8B")</f>
        <v>8B</v>
      </c>
      <c r="D28" s="21">
        <f>IFERROR(__xludf.DUMMYFUNCTION("""COMPUTED_VALUE"""),31.99)</f>
        <v>31.99</v>
      </c>
      <c r="E28" s="21" t="str">
        <f>IFERROR(__xludf.DUMMYFUNCTION("""COMPUTED_VALUE"""),"PR")</f>
        <v>PR</v>
      </c>
    </row>
    <row r="29" ht="15.75" customHeight="1">
      <c r="A29" s="21" t="str">
        <f>IFERROR(__xludf.DUMMYFUNCTION("""COMPUTED_VALUE"""),"200m Dash")</f>
        <v>200m Dash</v>
      </c>
      <c r="B29" s="21" t="str">
        <f>IFERROR(__xludf.DUMMYFUNCTION("""COMPUTED_VALUE"""),"Mattias kunc")</f>
        <v>Mattias kunc</v>
      </c>
      <c r="C29" s="21" t="str">
        <f>IFERROR(__xludf.DUMMYFUNCTION("""COMPUTED_VALUE"""),"8B")</f>
        <v>8B</v>
      </c>
      <c r="D29" s="21">
        <f>IFERROR(__xludf.DUMMYFUNCTION("""COMPUTED_VALUE"""),30.09)</f>
        <v>30.09</v>
      </c>
      <c r="E29" s="21" t="str">
        <f>IFERROR(__xludf.DUMMYFUNCTION("""COMPUTED_VALUE"""),"PR")</f>
        <v>PR</v>
      </c>
    </row>
    <row r="30" ht="15.75" customHeight="1">
      <c r="A30" s="21" t="str">
        <f>IFERROR(__xludf.DUMMYFUNCTION("""COMPUTED_VALUE"""),"200m Dash")</f>
        <v>200m Dash</v>
      </c>
      <c r="B30" s="21" t="str">
        <f>IFERROR(__xludf.DUMMYFUNCTION("""COMPUTED_VALUE"""),"Jin Trenh")</f>
        <v>Jin Trenh</v>
      </c>
      <c r="C30" s="21" t="str">
        <f>IFERROR(__xludf.DUMMYFUNCTION("""COMPUTED_VALUE"""),"8B")</f>
        <v>8B</v>
      </c>
      <c r="D30" s="21">
        <f>IFERROR(__xludf.DUMMYFUNCTION("""COMPUTED_VALUE"""),29.16)</f>
        <v>29.16</v>
      </c>
      <c r="E30" s="21"/>
    </row>
    <row r="31" ht="15.75" customHeight="1">
      <c r="A31" s="21" t="str">
        <f>IFERROR(__xludf.DUMMYFUNCTION("""COMPUTED_VALUE"""),"400m Dash")</f>
        <v>400m Dash</v>
      </c>
      <c r="B31" s="21" t="str">
        <f>IFERROR(__xludf.DUMMYFUNCTION("""COMPUTED_VALUE"""),"Devin Lindquist")</f>
        <v>Devin Lindquist</v>
      </c>
      <c r="C31" s="21" t="str">
        <f>IFERROR(__xludf.DUMMYFUNCTION("""COMPUTED_VALUE"""),"6/7B")</f>
        <v>6/7B</v>
      </c>
      <c r="D31" s="21">
        <f>IFERROR(__xludf.DUMMYFUNCTION("""COMPUTED_VALUE"""),0.05138888888888889)</f>
        <v>0.05138888889</v>
      </c>
      <c r="E31" s="21" t="str">
        <f>IFERROR(__xludf.DUMMYFUNCTION("""COMPUTED_VALUE"""),"PR")</f>
        <v>PR</v>
      </c>
    </row>
    <row r="32" ht="15.75" customHeight="1">
      <c r="A32" s="21" t="str">
        <f>IFERROR(__xludf.DUMMYFUNCTION("""COMPUTED_VALUE"""),"4x100m Relay")</f>
        <v>4x100m Relay</v>
      </c>
      <c r="B32" s="21" t="str">
        <f>IFERROR(__xludf.DUMMYFUNCTION("""COMPUTED_VALUE"""),"Yinghua Girls A")</f>
        <v>Yinghua Girls A</v>
      </c>
      <c r="C32" s="21" t="str">
        <f>IFERROR(__xludf.DUMMYFUNCTION("""COMPUTED_VALUE"""),"Keva · Vienna · Annika · Althea")</f>
        <v>Keva · Vienna · Annika · Althea</v>
      </c>
      <c r="D32" s="21" t="str">
        <f>IFERROR(__xludf.DUMMYFUNCTION("""COMPUTED_VALUE"""),"1:01.38")</f>
        <v>1:01.38</v>
      </c>
      <c r="E32" s="21" t="str">
        <f>IFERROR(__xludf.DUMMYFUNCTION("""COMPUTED_VALUE"""),"PR")</f>
        <v>PR</v>
      </c>
    </row>
    <row r="33" ht="15.75" customHeight="1">
      <c r="A33" s="21" t="str">
        <f>IFERROR(__xludf.DUMMYFUNCTION("""COMPUTED_VALUE"""),"4x100m Relay")</f>
        <v>4x100m Relay</v>
      </c>
      <c r="B33" s="21" t="str">
        <f>IFERROR(__xludf.DUMMYFUNCTION("""COMPUTED_VALUE"""),"Yinghua Girls B")</f>
        <v>Yinghua Girls B</v>
      </c>
      <c r="C33" s="21" t="str">
        <f>IFERROR(__xludf.DUMMYFUNCTION("""COMPUTED_VALUE"""),"Elyse · Amelia · Perrin · Alexandra")</f>
        <v>Elyse · Amelia · Perrin · Alexandra</v>
      </c>
      <c r="D33" s="21" t="str">
        <f>IFERROR(__xludf.DUMMYFUNCTION("""COMPUTED_VALUE"""),"1:04.33")</f>
        <v>1:04.33</v>
      </c>
      <c r="E33" s="21"/>
    </row>
    <row r="34" ht="15.75" customHeight="1">
      <c r="A34" s="21" t="str">
        <f>IFERROR(__xludf.DUMMYFUNCTION("""COMPUTED_VALUE"""),"4x100m Relay")</f>
        <v>4x100m Relay</v>
      </c>
      <c r="B34" s="21" t="str">
        <f>IFERROR(__xludf.DUMMYFUNCTION("""COMPUTED_VALUE"""),"Yinghua Boys A")</f>
        <v>Yinghua Boys A</v>
      </c>
      <c r="C34" s="21" t="str">
        <f>IFERROR(__xludf.DUMMYFUNCTION("""COMPUTED_VALUE"""),"Kai · Ari · Isaac · Cole")</f>
        <v>Kai · Ari · Isaac · Cole</v>
      </c>
      <c r="D34" s="21">
        <f>IFERROR(__xludf.DUMMYFUNCTION("""COMPUTED_VALUE"""),55.97)</f>
        <v>55.97</v>
      </c>
      <c r="E34" s="21" t="str">
        <f>IFERROR(__xludf.DUMMYFUNCTION("""COMPUTED_VALUE"""),"PR")</f>
        <v>PR</v>
      </c>
    </row>
    <row r="35" ht="15.75" customHeight="1">
      <c r="A35" s="21" t="str">
        <f>IFERROR(__xludf.DUMMYFUNCTION("""COMPUTED_VALUE"""),"4x100m Relay")</f>
        <v>4x100m Relay</v>
      </c>
      <c r="B35" s="21" t="str">
        <f>IFERROR(__xludf.DUMMYFUNCTION("""COMPUTED_VALUE"""),"Yinghua Boys B")</f>
        <v>Yinghua Boys B</v>
      </c>
      <c r="C35" s="21" t="str">
        <f>IFERROR(__xludf.DUMMYFUNCTION("""COMPUTED_VALUE"""),"Jin · Hudson · Addis · Aedan")</f>
        <v>Jin · Hudson · Addis · Aedan</v>
      </c>
      <c r="D35" s="21">
        <f>IFERROR(__xludf.DUMMYFUNCTION("""COMPUTED_VALUE"""),59.0)</f>
        <v>59</v>
      </c>
      <c r="E35" s="21" t="str">
        <f>IFERROR(__xludf.DUMMYFUNCTION("""COMPUTED_VALUE"""),"PR")</f>
        <v>PR</v>
      </c>
    </row>
    <row r="36" ht="15.75" customHeight="1">
      <c r="A36" s="21" t="str">
        <f>IFERROR(__xludf.DUMMYFUNCTION("""COMPUTED_VALUE"""),"800m Run")</f>
        <v>800m Run</v>
      </c>
      <c r="B36" s="21" t="str">
        <f>IFERROR(__xludf.DUMMYFUNCTION("""COMPUTED_VALUE"""),"Amelia")</f>
        <v>Amelia</v>
      </c>
      <c r="C36" s="21" t="str">
        <f>IFERROR(__xludf.DUMMYFUNCTION("""COMPUTED_VALUE"""),"6/7G")</f>
        <v>6/7G</v>
      </c>
      <c r="D36" s="21">
        <f>IFERROR(__xludf.DUMMYFUNCTION("""COMPUTED_VALUE"""),0.12152777777777778)</f>
        <v>0.1215277778</v>
      </c>
      <c r="E36" s="21" t="str">
        <f>IFERROR(__xludf.DUMMYFUNCTION("""COMPUTED_VALUE"""),"PR")</f>
        <v>PR</v>
      </c>
    </row>
    <row r="37" ht="15.75" customHeight="1">
      <c r="A37" s="21" t="str">
        <f>IFERROR(__xludf.DUMMYFUNCTION("""COMPUTED_VALUE"""),"800m Run")</f>
        <v>800m Run</v>
      </c>
      <c r="B37" s="21" t="str">
        <f>IFERROR(__xludf.DUMMYFUNCTION("""COMPUTED_VALUE"""),"Marcus Kunc")</f>
        <v>Marcus Kunc</v>
      </c>
      <c r="C37" s="21" t="str">
        <f>IFERROR(__xludf.DUMMYFUNCTION("""COMPUTED_VALUE"""),"6/7G")</f>
        <v>6/7G</v>
      </c>
      <c r="D37" s="21">
        <f>IFERROR(__xludf.DUMMYFUNCTION("""COMPUTED_VALUE"""),0.13680555555555557)</f>
        <v>0.1368055556</v>
      </c>
      <c r="E37" s="21"/>
    </row>
    <row r="38" ht="15.75" customHeight="1">
      <c r="A38" s="21" t="str">
        <f>IFERROR(__xludf.DUMMYFUNCTION("""COMPUTED_VALUE"""),"800m Run")</f>
        <v>800m Run</v>
      </c>
      <c r="B38" s="21" t="str">
        <f>IFERROR(__xludf.DUMMYFUNCTION("""COMPUTED_VALUE"""),"Ben Surla")</f>
        <v>Ben Surla</v>
      </c>
      <c r="C38" s="21" t="str">
        <f>IFERROR(__xludf.DUMMYFUNCTION("""COMPUTED_VALUE"""),"6/7B")</f>
        <v>6/7B</v>
      </c>
      <c r="D38" s="21">
        <f>IFERROR(__xludf.DUMMYFUNCTION("""COMPUTED_VALUE"""),0.1111111111111111)</f>
        <v>0.1111111111</v>
      </c>
      <c r="E38" s="21" t="str">
        <f>IFERROR(__xludf.DUMMYFUNCTION("""COMPUTED_VALUE"""),"PR")</f>
        <v>PR</v>
      </c>
    </row>
    <row r="39" ht="15.75" customHeight="1">
      <c r="A39" s="21" t="str">
        <f>IFERROR(__xludf.DUMMYFUNCTION("""COMPUTED_VALUE"""),"800m Run")</f>
        <v>800m Run</v>
      </c>
      <c r="B39" s="21" t="str">
        <f>IFERROR(__xludf.DUMMYFUNCTION("""COMPUTED_VALUE"""),"Caleb Wilson")</f>
        <v>Caleb Wilson</v>
      </c>
      <c r="C39" s="21" t="str">
        <f>IFERROR(__xludf.DUMMYFUNCTION("""COMPUTED_VALUE"""),"6/7B")</f>
        <v>6/7B</v>
      </c>
      <c r="D39" s="21">
        <f>IFERROR(__xludf.DUMMYFUNCTION("""COMPUTED_VALUE"""),0.1284722222222222)</f>
        <v>0.1284722222</v>
      </c>
      <c r="E39" s="21"/>
    </row>
    <row r="40" ht="15.75" customHeight="1">
      <c r="A40" s="21" t="str">
        <f>IFERROR(__xludf.DUMMYFUNCTION("""COMPUTED_VALUE"""),"800m Run")</f>
        <v>800m Run</v>
      </c>
      <c r="B40" s="21" t="str">
        <f>IFERROR(__xludf.DUMMYFUNCTION("""COMPUTED_VALUE"""),"Cole Beaudry")</f>
        <v>Cole Beaudry</v>
      </c>
      <c r="C40" s="21" t="str">
        <f>IFERROR(__xludf.DUMMYFUNCTION("""COMPUTED_VALUE"""),"6/7B")</f>
        <v>6/7B</v>
      </c>
      <c r="D40" s="21">
        <f>IFERROR(__xludf.DUMMYFUNCTION("""COMPUTED_VALUE"""),0.09861111111111111)</f>
        <v>0.09861111111</v>
      </c>
      <c r="E40" s="21" t="str">
        <f>IFERROR(__xludf.DUMMYFUNCTION("""COMPUTED_VALUE"""),"PR")</f>
        <v>PR</v>
      </c>
    </row>
    <row r="41" ht="15.75" customHeight="1">
      <c r="A41" s="21" t="str">
        <f>IFERROR(__xludf.DUMMYFUNCTION("""COMPUTED_VALUE"""),"800m Run")</f>
        <v>800m Run</v>
      </c>
      <c r="B41" s="21" t="str">
        <f>IFERROR(__xludf.DUMMYFUNCTION("""COMPUTED_VALUE"""),"Louis Ryan")</f>
        <v>Louis Ryan</v>
      </c>
      <c r="C41" s="21" t="str">
        <f>IFERROR(__xludf.DUMMYFUNCTION("""COMPUTED_VALUE"""),"6/7B")</f>
        <v>6/7B</v>
      </c>
      <c r="D41" s="21">
        <f>IFERROR(__xludf.DUMMYFUNCTION("""COMPUTED_VALUE"""),0.12986111111111112)</f>
        <v>0.1298611111</v>
      </c>
      <c r="E41" s="21"/>
    </row>
    <row r="42" ht="15.75" customHeight="1">
      <c r="A42" s="21" t="str">
        <f>IFERROR(__xludf.DUMMYFUNCTION("""COMPUTED_VALUE"""),"800m Run")</f>
        <v>800m Run</v>
      </c>
      <c r="B42" s="21" t="str">
        <f>IFERROR(__xludf.DUMMYFUNCTION("""COMPUTED_VALUE"""),"Mattias")</f>
        <v>Mattias</v>
      </c>
      <c r="C42" s="21" t="str">
        <f>IFERROR(__xludf.DUMMYFUNCTION("""COMPUTED_VALUE"""),"8B")</f>
        <v>8B</v>
      </c>
      <c r="D42" s="21">
        <f>IFERROR(__xludf.DUMMYFUNCTION("""COMPUTED_VALUE"""),0.11736111111111111)</f>
        <v>0.1173611111</v>
      </c>
      <c r="E42" s="21" t="str">
        <f>IFERROR(__xludf.DUMMYFUNCTION("""COMPUTED_VALUE"""),"PR")</f>
        <v>PR</v>
      </c>
    </row>
    <row r="43" ht="15.75" customHeight="1">
      <c r="A43" s="21" t="str">
        <f>IFERROR(__xludf.DUMMYFUNCTION("""COMPUTED_VALUE"""),"800m Run")</f>
        <v>800m Run</v>
      </c>
      <c r="B43" s="21" t="str">
        <f>IFERROR(__xludf.DUMMYFUNCTION("""COMPUTED_VALUE"""),"Reuben Addington")</f>
        <v>Reuben Addington</v>
      </c>
      <c r="C43" s="21" t="str">
        <f>IFERROR(__xludf.DUMMYFUNCTION("""COMPUTED_VALUE"""),"6/7B")</f>
        <v>6/7B</v>
      </c>
      <c r="D43" s="21">
        <f>IFERROR(__xludf.DUMMYFUNCTION("""COMPUTED_VALUE"""),0.1423611111111111)</f>
        <v>0.1423611111</v>
      </c>
      <c r="E43" s="21" t="str">
        <f>IFERROR(__xludf.DUMMYFUNCTION("""COMPUTED_VALUE"""),"PR")</f>
        <v>PR</v>
      </c>
    </row>
    <row r="44" ht="15.75" customHeight="1">
      <c r="A44" s="21" t="str">
        <f>IFERROR(__xludf.DUMMYFUNCTION("""COMPUTED_VALUE"""),"Long Jump")</f>
        <v>Long Jump</v>
      </c>
      <c r="B44" s="21" t="str">
        <f>IFERROR(__xludf.DUMMYFUNCTION("""COMPUTED_VALUE"""),"Alexandra Ebinger")</f>
        <v>Alexandra Ebinger</v>
      </c>
      <c r="C44" s="21" t="str">
        <f>IFERROR(__xludf.DUMMYFUNCTION("""COMPUTED_VALUE"""),"6/7G")</f>
        <v>6/7G</v>
      </c>
      <c r="D44" s="21" t="str">
        <f>IFERROR(__xludf.DUMMYFUNCTION("""COMPUTED_VALUE"""),"11'9""")</f>
        <v>11'9"</v>
      </c>
      <c r="E44" s="21"/>
    </row>
    <row r="45" ht="15.75" customHeight="1">
      <c r="A45" s="21" t="str">
        <f>IFERROR(__xludf.DUMMYFUNCTION("""COMPUTED_VALUE"""),"Long Jump")</f>
        <v>Long Jump</v>
      </c>
      <c r="B45" s="21" t="str">
        <f>IFERROR(__xludf.DUMMYFUNCTION("""COMPUTED_VALUE"""),"Althea Bortel Fielder")</f>
        <v>Althea Bortel Fielder</v>
      </c>
      <c r="C45" s="21" t="str">
        <f>IFERROR(__xludf.DUMMYFUNCTION("""COMPUTED_VALUE"""),"6/7G")</f>
        <v>6/7G</v>
      </c>
      <c r="D45" s="21" t="str">
        <f>IFERROR(__xludf.DUMMYFUNCTION("""COMPUTED_VALUE"""),"11'7""")</f>
        <v>11'7"</v>
      </c>
      <c r="E45" s="21"/>
    </row>
    <row r="46" ht="15.75" customHeight="1">
      <c r="A46" s="21" t="str">
        <f>IFERROR(__xludf.DUMMYFUNCTION("""COMPUTED_VALUE"""),"Long Jump")</f>
        <v>Long Jump</v>
      </c>
      <c r="B46" s="21" t="str">
        <f>IFERROR(__xludf.DUMMYFUNCTION("""COMPUTED_VALUE"""),"Audrey Roffe")</f>
        <v>Audrey Roffe</v>
      </c>
      <c r="C46" s="21" t="str">
        <f>IFERROR(__xludf.DUMMYFUNCTION("""COMPUTED_VALUE"""),"6/7G")</f>
        <v>6/7G</v>
      </c>
      <c r="D46" s="21" t="str">
        <f>IFERROR(__xludf.DUMMYFUNCTION("""COMPUTED_VALUE"""),"9'9""")</f>
        <v>9'9"</v>
      </c>
      <c r="E46" s="21"/>
    </row>
    <row r="47" ht="15.75" customHeight="1">
      <c r="A47" s="21" t="str">
        <f>IFERROR(__xludf.DUMMYFUNCTION("""COMPUTED_VALUE"""),"Long Jump")</f>
        <v>Long Jump</v>
      </c>
      <c r="B47" s="21" t="str">
        <f>IFERROR(__xludf.DUMMYFUNCTION("""COMPUTED_VALUE"""),"Amelia")</f>
        <v>Amelia</v>
      </c>
      <c r="C47" s="21" t="str">
        <f>IFERROR(__xludf.DUMMYFUNCTION("""COMPUTED_VALUE"""),"6/7G")</f>
        <v>6/7G</v>
      </c>
      <c r="D47" s="21" t="str">
        <f>IFERROR(__xludf.DUMMYFUNCTION("""COMPUTED_VALUE"""),"11'6""")</f>
        <v>11'6"</v>
      </c>
      <c r="E47" s="21"/>
    </row>
    <row r="48" ht="15.75" customHeight="1">
      <c r="A48" s="21" t="str">
        <f>IFERROR(__xludf.DUMMYFUNCTION("""COMPUTED_VALUE"""),"Long Jump")</f>
        <v>Long Jump</v>
      </c>
      <c r="B48" s="21" t="str">
        <f>IFERROR(__xludf.DUMMYFUNCTION("""COMPUTED_VALUE"""),"Perrin Light-Haberstroh")</f>
        <v>Perrin Light-Haberstroh</v>
      </c>
      <c r="C48" s="21" t="str">
        <f>IFERROR(__xludf.DUMMYFUNCTION("""COMPUTED_VALUE"""),"6/7G")</f>
        <v>6/7G</v>
      </c>
      <c r="D48" s="21" t="str">
        <f>IFERROR(__xludf.DUMMYFUNCTION("""COMPUTED_VALUE"""),"9'5""")</f>
        <v>9'5"</v>
      </c>
      <c r="E48" s="21"/>
    </row>
    <row r="49" ht="15.75" customHeight="1">
      <c r="A49" s="21" t="str">
        <f>IFERROR(__xludf.DUMMYFUNCTION("""COMPUTED_VALUE"""),"Long Jump")</f>
        <v>Long Jump</v>
      </c>
      <c r="B49" s="21" t="str">
        <f>IFERROR(__xludf.DUMMYFUNCTION("""COMPUTED_VALUE"""),"Gabriel Nowariak")</f>
        <v>Gabriel Nowariak</v>
      </c>
      <c r="C49" s="21" t="str">
        <f>IFERROR(__xludf.DUMMYFUNCTION("""COMPUTED_VALUE"""),"6/7B")</f>
        <v>6/7B</v>
      </c>
      <c r="D49" s="21" t="str">
        <f>IFERROR(__xludf.DUMMYFUNCTION("""COMPUTED_VALUE"""),"10'2""")</f>
        <v>10'2"</v>
      </c>
      <c r="E49" s="21"/>
    </row>
    <row r="50" ht="15.75" customHeight="1">
      <c r="A50" s="21" t="str">
        <f>IFERROR(__xludf.DUMMYFUNCTION("""COMPUTED_VALUE"""),"Long Jump")</f>
        <v>Long Jump</v>
      </c>
      <c r="B50" s="21" t="str">
        <f>IFERROR(__xludf.DUMMYFUNCTION("""COMPUTED_VALUE"""),"Remy Fortin")</f>
        <v>Remy Fortin</v>
      </c>
      <c r="C50" s="21" t="str">
        <f>IFERROR(__xludf.DUMMYFUNCTION("""COMPUTED_VALUE"""),"6/7B")</f>
        <v>6/7B</v>
      </c>
      <c r="D50" s="21" t="str">
        <f>IFERROR(__xludf.DUMMYFUNCTION("""COMPUTED_VALUE"""),"10'3""")</f>
        <v>10'3"</v>
      </c>
      <c r="E50" s="21" t="str">
        <f>IFERROR(__xludf.DUMMYFUNCTION("""COMPUTED_VALUE"""),"PR")</f>
        <v>PR</v>
      </c>
    </row>
    <row r="51" ht="15.75" customHeight="1">
      <c r="A51" s="21" t="str">
        <f>IFERROR(__xludf.DUMMYFUNCTION("""COMPUTED_VALUE"""),"Long Jump")</f>
        <v>Long Jump</v>
      </c>
      <c r="B51" s="21" t="str">
        <f>IFERROR(__xludf.DUMMYFUNCTION("""COMPUTED_VALUE"""),"Mattias")</f>
        <v>Mattias</v>
      </c>
      <c r="C51" s="21" t="str">
        <f>IFERROR(__xludf.DUMMYFUNCTION("""COMPUTED_VALUE"""),"8B")</f>
        <v>8B</v>
      </c>
      <c r="D51" s="21" t="str">
        <f>IFERROR(__xludf.DUMMYFUNCTION("""COMPUTED_VALUE"""),"13'2""")</f>
        <v>13'2"</v>
      </c>
      <c r="E51" s="21"/>
    </row>
    <row r="52" ht="15.75" customHeight="1">
      <c r="A52" s="21" t="str">
        <f>IFERROR(__xludf.DUMMYFUNCTION("""COMPUTED_VALUE"""),"Sprint Medley")</f>
        <v>Sprint Medley</v>
      </c>
      <c r="B52" s="21" t="str">
        <f>IFERROR(__xludf.DUMMYFUNCTION("""COMPUTED_VALUE"""),"Yinghua Girls A")</f>
        <v>Yinghua Girls A</v>
      </c>
      <c r="C52" s="21" t="str">
        <f>IFERROR(__xludf.DUMMYFUNCTION("""COMPUTED_VALUE"""),"Vienna(100) · Keva(100) · Althea(200) · Annika(400)")</f>
        <v>Vienna(100) · Keva(100) · Althea(200) · Annika(400)</v>
      </c>
      <c r="D52" s="21">
        <f>IFERROR(__xludf.DUMMYFUNCTION("""COMPUTED_VALUE"""),0.09652777777777778)</f>
        <v>0.09652777778</v>
      </c>
      <c r="E52" s="21" t="str">
        <f>IFERROR(__xludf.DUMMYFUNCTION("""COMPUTED_VALUE"""),"PR")</f>
        <v>PR</v>
      </c>
    </row>
    <row r="53" ht="15.75" customHeight="1">
      <c r="A53" s="21" t="str">
        <f>IFERROR(__xludf.DUMMYFUNCTION("""COMPUTED_VALUE"""),"Sprint Medley")</f>
        <v>Sprint Medley</v>
      </c>
      <c r="B53" s="21" t="str">
        <f>IFERROR(__xludf.DUMMYFUNCTION("""COMPUTED_VALUE"""),"Yinghua Boys A")</f>
        <v>Yinghua Boys A</v>
      </c>
      <c r="C53" s="21" t="str">
        <f>IFERROR(__xludf.DUMMYFUNCTION("""COMPUTED_VALUE"""),"Ari(100) · Kai(100) · Isaac(200) · Cole(400)")</f>
        <v>Ari(100) · Kai(100) · Isaac(200) · Cole(400)</v>
      </c>
      <c r="D53" s="21">
        <f>IFERROR(__xludf.DUMMYFUNCTION("""COMPUTED_VALUE"""),0.08611111111111111)</f>
        <v>0.08611111111</v>
      </c>
      <c r="E53" s="21"/>
    </row>
    <row r="54" ht="15.75" customHeight="1">
      <c r="A54" s="21"/>
      <c r="B54" s="21" t="str">
        <f>IFERROR(__xludf.DUMMYFUNCTION("""COMPUTED_VALUE"""),"Marcus ")</f>
        <v>Marcus </v>
      </c>
      <c r="C54" s="21" t="str">
        <f>IFERROR(__xludf.DUMMYFUNCTION("""COMPUTED_VALUE"""),"6/7B")</f>
        <v>6/7B</v>
      </c>
      <c r="D54" s="21">
        <f>IFERROR(__xludf.DUMMYFUNCTION("""COMPUTED_VALUE"""),16.65)</f>
        <v>16.65</v>
      </c>
      <c r="E54" s="21" t="str">
        <f>IFERROR(__xludf.DUMMYFUNCTION("""COMPUTED_VALUE"""),"PR")</f>
        <v>PR</v>
      </c>
    </row>
    <row r="55" ht="15.75" customHeight="1">
      <c r="A55" s="21"/>
      <c r="B55" s="21" t="str">
        <f>IFERROR(__xludf.DUMMYFUNCTION("""COMPUTED_VALUE"""),"Isaac Wilson")</f>
        <v>Isaac Wilson</v>
      </c>
      <c r="C55" s="21"/>
      <c r="D55" s="21">
        <f>IFERROR(__xludf.DUMMYFUNCTION("""COMPUTED_VALUE"""),13.9)</f>
        <v>13.9</v>
      </c>
      <c r="E55" s="21" t="str">
        <f>IFERROR(__xludf.DUMMYFUNCTION("""COMPUTED_VALUE"""),"PR")</f>
        <v>PR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2026-05-13T01:56:39Z</dcterms:created>
  <dc:creator>openpyxl</dc:creator>
</cp:coreProperties>
</file>