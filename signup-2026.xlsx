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structions" sheetId="1" state="visible" r:id="rId1"/>
    <sheet name="Roster" sheetId="2" state="visible" r:id="rId2"/>
    <sheet name="Signup" sheetId="3" state="visible" r:id="rId3"/>
    <sheet name="By Ev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1"/>
    </font>
    <font>
      <i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790E1D"/>
      </patternFill>
    </fill>
    <fill>
      <patternFill patternType="solid">
        <fgColor rgb="00FFD70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2B6CB0"/>
      </patternFill>
    </fill>
    <fill>
      <patternFill patternType="solid">
        <fgColor rgb="00D69E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indent="2"/>
    </xf>
    <xf numFmtId="0" fontId="0" fillId="0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b val="1"/>
        <color rgb="00C62828"/>
      </font>
      <fill>
        <patternFill patternType="solid">
          <fgColor rgb="00FFCDD2"/>
        </patternFill>
      </fill>
    </dxf>
    <dxf>
      <font>
        <b val="1"/>
        <color rgb="008A6D00"/>
      </font>
      <fill>
        <patternFill patternType="solid">
          <fgColor rgb="00FFF3CD"/>
        </patternFill>
      </fill>
    </dxf>
    <dxf>
      <font>
        <b val="1"/>
        <color rgb="002E7D32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YA Track</author>
  </authors>
  <commentList>
    <comment ref="D3" authorId="0" shapeId="0">
      <text>
        <t>75m Hurdles</t>
      </text>
    </comment>
    <comment ref="E3" authorId="0" shapeId="0">
      <text>
        <t>100m Dash</t>
      </text>
    </comment>
    <comment ref="F3" authorId="0" shapeId="0">
      <text>
        <t>4x200m Relay</t>
      </text>
    </comment>
    <comment ref="G3" authorId="0" shapeId="0">
      <text>
        <t>1600m Run</t>
      </text>
    </comment>
    <comment ref="H3" authorId="0" shapeId="0">
      <text>
        <t>4x100m Relay</t>
      </text>
    </comment>
    <comment ref="I3" authorId="0" shapeId="0">
      <text>
        <t>400m Dash</t>
      </text>
    </comment>
    <comment ref="J3" authorId="0" shapeId="0">
      <text>
        <t>800m Run</t>
      </text>
    </comment>
    <comment ref="K3" authorId="0" shapeId="0">
      <text>
        <t>200m Dash</t>
      </text>
    </comment>
    <comment ref="L3" authorId="0" shapeId="0">
      <text>
        <t>4x400m Relay</t>
      </text>
    </comment>
    <comment ref="M3" authorId="0" shapeId="0">
      <text>
        <t>Shot Put</t>
      </text>
    </comment>
    <comment ref="N3" authorId="0" shapeId="0">
      <text>
        <t>Discus</t>
      </text>
    </comment>
    <comment ref="O3" authorId="0" shapeId="0">
      <text>
        <t>Long Jump</t>
      </text>
    </comment>
    <comment ref="P3" authorId="0" shapeId="0">
      <text>
        <t>Triple Jump</t>
      </text>
    </comment>
    <comment ref="Q3" authorId="0" shapeId="0">
      <text>
        <t>High Jump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Yinghua Track — 2026 Event Signup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/>
    </row>
    <row r="5">
      <c r="A5" s="2" t="inlineStr">
        <is>
          <t>1) ROSTER tab — add/remove athletes here. Name, Grade, Gender (M or F).</t>
        </is>
      </c>
    </row>
    <row r="6">
      <c r="A6" s="2" t="inlineStr">
        <is>
          <t xml:space="preserve">   Grade and Gender are required — they control which heat each athlete runs in on the By Event tab.</t>
        </is>
      </c>
    </row>
    <row r="7">
      <c r="A7" s="2" t="inlineStr"/>
    </row>
    <row r="8">
      <c r="A8" s="2" t="inlineStr">
        <is>
          <t>2) SIGNUP tab — one row per athlete. Type into the event columns:</t>
        </is>
      </c>
    </row>
    <row r="9">
      <c r="A9" s="2" t="inlineStr">
        <is>
          <t xml:space="preserve">     • X  = athlete is in this event (individual)</t>
        </is>
      </c>
    </row>
    <row r="10">
      <c r="A10" s="2" t="inlineStr">
        <is>
          <t xml:space="preserve">     • A  or  B  or  C  or  D  = relay team letter (4x100 / 4x200 / 4x400)</t>
        </is>
      </c>
    </row>
    <row r="11">
      <c r="A11" s="2" t="inlineStr">
        <is>
          <t xml:space="preserve">   Leave cells blank if the athlete isn't in that event.</t>
        </is>
      </c>
    </row>
    <row r="12">
      <c r="A12" s="2" t="inlineStr"/>
    </row>
    <row r="13">
      <c r="A13" s="2" t="inlineStr">
        <is>
          <t>3) The right-side summary columns auto-count for you:</t>
        </is>
      </c>
    </row>
    <row r="14">
      <c r="A14" s="2" t="inlineStr">
        <is>
          <t xml:space="preserve">     • Run #     — number of running events (relay counts as 1)</t>
        </is>
      </c>
    </row>
    <row r="15">
      <c r="A15" s="2" t="inlineStr">
        <is>
          <t xml:space="preserve">     • Field #   — number of field events</t>
        </is>
      </c>
    </row>
    <row r="16">
      <c r="A16" s="2" t="inlineStr">
        <is>
          <t xml:space="preserve">     • Total     — all events. Max allowed = 4. Turns RED when over.</t>
        </is>
      </c>
    </row>
    <row r="17">
      <c r="A17" s="2" t="inlineStr">
        <is>
          <t xml:space="preserve">     • Valid?    — flags if the running/field mix is invalid (must be 3+1 or 1+3, or fewer).</t>
        </is>
      </c>
    </row>
    <row r="18">
      <c r="A18" s="2" t="inlineStr"/>
    </row>
    <row r="19">
      <c r="A19" s="2" t="inlineStr">
        <is>
          <t>4) BY EVENT tab — auto-populated. Each event lists who signed up, split by heat group</t>
        </is>
      </c>
    </row>
    <row r="20">
      <c r="A20" s="2" t="inlineStr">
        <is>
          <t xml:space="preserve">   (6/7 Girls → 8 Girls → 6/7 Boys → 8 Boys) for running events. Relays show teams A/B/C/D.</t>
        </is>
      </c>
    </row>
    <row r="21">
      <c r="A21" s="2" t="inlineStr">
        <is>
          <t xml:space="preserve">   Use this as your heat sheet at the meet.</t>
        </is>
      </c>
    </row>
    <row r="22">
      <c r="A22" s="2" t="inlineStr"/>
    </row>
    <row r="23">
      <c r="A23" s="4" t="inlineStr">
        <is>
          <t>Conference rules:</t>
        </is>
      </c>
    </row>
    <row r="24">
      <c r="A24" s="2" t="inlineStr">
        <is>
          <t xml:space="preserve">   • Max 4 events per athlete total (3 running + 1 field  OR  3 field + 1 running)</t>
        </is>
      </c>
    </row>
    <row r="25">
      <c r="A25" s="2" t="inlineStr">
        <is>
          <t xml:space="preserve">   • Running event order: 75mH → 100m → 4x200 → 1600 → 4x100 → 400 → 800 → 200 → 4x400</t>
        </is>
      </c>
    </row>
    <row r="26">
      <c r="A26" s="2" t="inlineStr">
        <is>
          <t xml:space="preserve">   • Within each running event, heats run: 6/7 Girls → 8 Girls → 6/7 Boys → 8 Boys</t>
        </is>
      </c>
    </row>
    <row r="27">
      <c r="A27" s="2" t="inlineStr">
        <is>
          <t xml:space="preserve">   • Field events run concurrently — Shot Put (8 lb), Discus, Long Jump, Triple Jump, High Jump</t>
        </is>
      </c>
    </row>
    <row r="28">
      <c r="A28" s="2" t="inlineStr"/>
    </row>
    <row r="29">
      <c r="A29" s="4" t="inlineStr">
        <is>
          <t>Compatibility note:</t>
        </is>
      </c>
    </row>
    <row r="30">
      <c r="A30" s="2" t="inlineStr">
        <is>
          <t xml:space="preserve">   Works in Excel 2021+, Excel 365, and Google Sheets natively (uses FILTER + TEXTJOIN).</t>
        </is>
      </c>
    </row>
    <row r="31">
      <c r="A31" s="2" t="inlineStr">
        <is>
          <t xml:space="preserve">   To share with multiple coaches editing at once: upload to Google Drive, open with Google Sheets,</t>
        </is>
      </c>
    </row>
    <row r="32">
      <c r="A32" s="2" t="inlineStr">
        <is>
          <t xml:space="preserve">   then share the doc. All formulas, dropdowns, and conditional formatting carry 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 ht="22" customHeight="1">
      <c r="A1" s="5" t="inlineStr">
        <is>
          <t>Roster — edit here to add/remove athletes</t>
        </is>
      </c>
    </row>
    <row r="2">
      <c r="A2" s="6" t="inlineStr">
        <is>
          <t>Name</t>
        </is>
      </c>
      <c r="B2" s="6" t="inlineStr">
        <is>
          <t>Grade</t>
        </is>
      </c>
      <c r="C2" s="6" t="inlineStr">
        <is>
          <t>Gender (M/F)</t>
        </is>
      </c>
    </row>
    <row r="3">
      <c r="A3" s="7" t="inlineStr">
        <is>
          <t>Reuben Addington</t>
        </is>
      </c>
      <c r="B3" s="8" t="n">
        <v>6</v>
      </c>
      <c r="C3" s="8" t="inlineStr">
        <is>
          <t>M</t>
        </is>
      </c>
    </row>
    <row r="4">
      <c r="A4" s="7" t="inlineStr">
        <is>
          <t>Cole Beaudry</t>
        </is>
      </c>
      <c r="B4" s="8" t="n">
        <v>7</v>
      </c>
      <c r="C4" s="8" t="inlineStr">
        <is>
          <t>M</t>
        </is>
      </c>
    </row>
    <row r="5">
      <c r="A5" s="7" t="inlineStr">
        <is>
          <t>Althea Bortel Fielder</t>
        </is>
      </c>
      <c r="B5" s="8" t="n">
        <v>7</v>
      </c>
      <c r="C5" s="8" t="inlineStr">
        <is>
          <t>F</t>
        </is>
      </c>
    </row>
    <row r="6">
      <c r="A6" s="7" t="inlineStr">
        <is>
          <t>Keva Bowron</t>
        </is>
      </c>
      <c r="B6" s="8" t="n">
        <v>7</v>
      </c>
      <c r="C6" s="8" t="inlineStr">
        <is>
          <t>F</t>
        </is>
      </c>
    </row>
    <row r="7">
      <c r="A7" s="7" t="inlineStr">
        <is>
          <t>Liam Bursell</t>
        </is>
      </c>
      <c r="B7" s="8" t="n">
        <v>7</v>
      </c>
      <c r="C7" s="8" t="inlineStr">
        <is>
          <t>M</t>
        </is>
      </c>
    </row>
    <row r="8">
      <c r="A8" s="7" t="inlineStr">
        <is>
          <t>Mila Bursell</t>
        </is>
      </c>
      <c r="B8" s="8" t="n">
        <v>7</v>
      </c>
      <c r="C8" s="8" t="inlineStr">
        <is>
          <t>F</t>
        </is>
      </c>
    </row>
    <row r="9">
      <c r="A9" s="7" t="inlineStr">
        <is>
          <t>Grayson Chon</t>
        </is>
      </c>
      <c r="B9" s="8" t="n">
        <v>7</v>
      </c>
      <c r="C9" s="8" t="inlineStr">
        <is>
          <t>M</t>
        </is>
      </c>
    </row>
    <row r="10">
      <c r="A10" s="7" t="inlineStr">
        <is>
          <t>Cooper Coblentz</t>
        </is>
      </c>
      <c r="B10" s="8" t="n">
        <v>8</v>
      </c>
      <c r="C10" s="8" t="inlineStr">
        <is>
          <t>M</t>
        </is>
      </c>
    </row>
    <row r="11">
      <c r="A11" s="7" t="inlineStr">
        <is>
          <t>Hudson Coblentz</t>
        </is>
      </c>
      <c r="B11" s="8" t="n">
        <v>8</v>
      </c>
      <c r="C11" s="8" t="inlineStr">
        <is>
          <t>M</t>
        </is>
      </c>
    </row>
    <row r="12">
      <c r="A12" s="7" t="inlineStr">
        <is>
          <t>Nathan Coblentz</t>
        </is>
      </c>
      <c r="B12" s="8" t="n">
        <v>8</v>
      </c>
      <c r="C12" s="8" t="inlineStr">
        <is>
          <t>M</t>
        </is>
      </c>
    </row>
    <row r="13">
      <c r="A13" s="7" t="inlineStr">
        <is>
          <t>Addis Demere</t>
        </is>
      </c>
      <c r="B13" s="8" t="n">
        <v>8</v>
      </c>
      <c r="C13" s="8" t="inlineStr">
        <is>
          <t>M</t>
        </is>
      </c>
    </row>
    <row r="14">
      <c r="A14" s="7" t="inlineStr">
        <is>
          <t>Kai Dinger</t>
        </is>
      </c>
      <c r="B14" s="8" t="n">
        <v>7</v>
      </c>
      <c r="C14" s="8" t="inlineStr">
        <is>
          <t>M</t>
        </is>
      </c>
    </row>
    <row r="15">
      <c r="A15" s="7" t="inlineStr">
        <is>
          <t>Alexandra Ebinger</t>
        </is>
      </c>
      <c r="B15" s="8" t="n">
        <v>6</v>
      </c>
      <c r="C15" s="8" t="inlineStr">
        <is>
          <t>F</t>
        </is>
      </c>
    </row>
    <row r="16">
      <c r="A16" s="7" t="inlineStr">
        <is>
          <t>Cora Ebinger</t>
        </is>
      </c>
      <c r="B16" s="8" t="n">
        <v>8</v>
      </c>
      <c r="C16" s="8" t="inlineStr">
        <is>
          <t>F</t>
        </is>
      </c>
    </row>
    <row r="17">
      <c r="A17" s="7" t="inlineStr">
        <is>
          <t>Elyse Folbrecht</t>
        </is>
      </c>
      <c r="B17" s="8" t="n">
        <v>6</v>
      </c>
      <c r="C17" s="8" t="inlineStr">
        <is>
          <t>F</t>
        </is>
      </c>
    </row>
    <row r="18">
      <c r="A18" s="7" t="inlineStr">
        <is>
          <t>Remy Fortin</t>
        </is>
      </c>
      <c r="B18" s="8" t="n">
        <v>7</v>
      </c>
      <c r="C18" s="8" t="inlineStr">
        <is>
          <t>M</t>
        </is>
      </c>
    </row>
    <row r="19">
      <c r="A19" s="7" t="inlineStr">
        <is>
          <t>Vienna Haas</t>
        </is>
      </c>
      <c r="B19" s="8" t="n">
        <v>7</v>
      </c>
      <c r="C19" s="8" t="inlineStr">
        <is>
          <t>F</t>
        </is>
      </c>
    </row>
    <row r="20">
      <c r="A20" s="7" t="inlineStr">
        <is>
          <t>Aedan Herman</t>
        </is>
      </c>
      <c r="B20" s="8" t="n">
        <v>8</v>
      </c>
      <c r="C20" s="8" t="inlineStr">
        <is>
          <t>M</t>
        </is>
      </c>
    </row>
    <row r="21">
      <c r="A21" s="7" t="inlineStr">
        <is>
          <t>Ben Hinrichs</t>
        </is>
      </c>
      <c r="B21" s="8" t="n">
        <v>8</v>
      </c>
      <c r="C21" s="8" t="inlineStr">
        <is>
          <t>M</t>
        </is>
      </c>
    </row>
    <row r="22">
      <c r="A22" s="7" t="inlineStr">
        <is>
          <t>Sage Houdek</t>
        </is>
      </c>
      <c r="B22" s="8" t="n">
        <v>8</v>
      </c>
      <c r="C22" s="8" t="inlineStr">
        <is>
          <t>F</t>
        </is>
      </c>
    </row>
    <row r="23">
      <c r="A23" s="7" t="inlineStr">
        <is>
          <t>Ari Klapperich-Khuu</t>
        </is>
      </c>
      <c r="B23" s="8" t="n">
        <v>7</v>
      </c>
      <c r="C23" s="8" t="inlineStr">
        <is>
          <t>M</t>
        </is>
      </c>
    </row>
    <row r="24">
      <c r="A24" s="7" t="inlineStr">
        <is>
          <t>Marcus Kunc</t>
        </is>
      </c>
      <c r="B24" s="8" t="n">
        <v>6</v>
      </c>
      <c r="C24" s="8" t="inlineStr">
        <is>
          <t>M</t>
        </is>
      </c>
    </row>
    <row r="25">
      <c r="A25" s="7" t="inlineStr">
        <is>
          <t>Mattias Kunc</t>
        </is>
      </c>
      <c r="B25" s="8" t="n">
        <v>8</v>
      </c>
      <c r="C25" s="8" t="inlineStr">
        <is>
          <t>M</t>
        </is>
      </c>
    </row>
    <row r="26">
      <c r="A26" s="7" t="inlineStr">
        <is>
          <t>Perrin Light-Haberstroh</t>
        </is>
      </c>
      <c r="B26" s="8" t="n">
        <v>6</v>
      </c>
      <c r="C26" s="8" t="inlineStr">
        <is>
          <t>F</t>
        </is>
      </c>
    </row>
    <row r="27">
      <c r="A27" s="7" t="inlineStr">
        <is>
          <t>Devin Lindquist</t>
        </is>
      </c>
      <c r="B27" s="8" t="n">
        <v>6</v>
      </c>
      <c r="C27" s="8" t="inlineStr">
        <is>
          <t>M</t>
        </is>
      </c>
    </row>
    <row r="28">
      <c r="A28" s="7" t="inlineStr">
        <is>
          <t>Gabriel Nowariak</t>
        </is>
      </c>
      <c r="B28" s="8" t="n">
        <v>6</v>
      </c>
      <c r="C28" s="8" t="inlineStr">
        <is>
          <t>M</t>
        </is>
      </c>
    </row>
    <row r="29">
      <c r="A29" s="7" t="inlineStr">
        <is>
          <t>Annika Peterson</t>
        </is>
      </c>
      <c r="B29" s="8" t="n">
        <v>7</v>
      </c>
      <c r="C29" s="8" t="inlineStr">
        <is>
          <t>F</t>
        </is>
      </c>
    </row>
    <row r="30">
      <c r="A30" s="7" t="inlineStr">
        <is>
          <t>Cailee Pham</t>
        </is>
      </c>
      <c r="B30" s="8" t="n">
        <v>8</v>
      </c>
      <c r="C30" s="8" t="inlineStr">
        <is>
          <t>F</t>
        </is>
      </c>
    </row>
    <row r="31">
      <c r="A31" s="7" t="inlineStr">
        <is>
          <t>Amelia Roddy</t>
        </is>
      </c>
      <c r="B31" s="8" t="n">
        <v>6</v>
      </c>
      <c r="C31" s="8" t="inlineStr">
        <is>
          <t>F</t>
        </is>
      </c>
    </row>
    <row r="32">
      <c r="A32" s="7" t="inlineStr">
        <is>
          <t>Audrey Roffe</t>
        </is>
      </c>
      <c r="B32" s="8" t="n">
        <v>7</v>
      </c>
      <c r="C32" s="8" t="inlineStr">
        <is>
          <t>F</t>
        </is>
      </c>
    </row>
    <row r="33">
      <c r="A33" s="7" t="inlineStr">
        <is>
          <t>Louis Ryan</t>
        </is>
      </c>
      <c r="B33" s="8" t="n">
        <v>7</v>
      </c>
      <c r="C33" s="8" t="inlineStr">
        <is>
          <t>M</t>
        </is>
      </c>
    </row>
    <row r="34">
      <c r="A34" s="7" t="inlineStr">
        <is>
          <t>Arya Sanaka</t>
        </is>
      </c>
      <c r="B34" s="8" t="n">
        <v>7</v>
      </c>
      <c r="C34" s="8" t="inlineStr">
        <is>
          <t>F</t>
        </is>
      </c>
    </row>
    <row r="35">
      <c r="A35" s="7" t="inlineStr">
        <is>
          <t>Leo Shu</t>
        </is>
      </c>
      <c r="B35" s="8" t="n">
        <v>8</v>
      </c>
      <c r="C35" s="8" t="inlineStr">
        <is>
          <t>M</t>
        </is>
      </c>
    </row>
    <row r="36">
      <c r="A36" s="7" t="inlineStr">
        <is>
          <t>Ben Surla</t>
        </is>
      </c>
      <c r="B36" s="8" t="n">
        <v>7</v>
      </c>
      <c r="C36" s="8" t="inlineStr">
        <is>
          <t>M</t>
        </is>
      </c>
    </row>
    <row r="37">
      <c r="A37" s="7" t="inlineStr">
        <is>
          <t>Jin Trenh</t>
        </is>
      </c>
      <c r="B37" s="8" t="n">
        <v>8</v>
      </c>
      <c r="C37" s="8" t="inlineStr">
        <is>
          <t>M</t>
        </is>
      </c>
    </row>
    <row r="38">
      <c r="A38" s="7" t="inlineStr">
        <is>
          <t>Ethan Tschida</t>
        </is>
      </c>
      <c r="B38" s="8" t="n">
        <v>6</v>
      </c>
      <c r="C38" s="8" t="inlineStr">
        <is>
          <t>M</t>
        </is>
      </c>
    </row>
    <row r="39">
      <c r="A39" s="7" t="inlineStr">
        <is>
          <t>Isabel Tschida</t>
        </is>
      </c>
      <c r="B39" s="8" t="n">
        <v>8</v>
      </c>
      <c r="C39" s="8" t="inlineStr">
        <is>
          <t>F</t>
        </is>
      </c>
    </row>
    <row r="40">
      <c r="A40" s="7" t="inlineStr">
        <is>
          <t>Caleb Wilson</t>
        </is>
      </c>
      <c r="B40" s="8" t="n">
        <v>7</v>
      </c>
      <c r="C40" s="8" t="inlineStr">
        <is>
          <t>M</t>
        </is>
      </c>
    </row>
    <row r="41">
      <c r="A41" s="7" t="inlineStr">
        <is>
          <t>Isaac Wilson</t>
        </is>
      </c>
      <c r="B41" s="8" t="n">
        <v>7</v>
      </c>
      <c r="C41" s="8" t="inlineStr">
        <is>
          <t>M</t>
        </is>
      </c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</sheetData>
  <mergeCells count="1">
    <mergeCell ref="A1:C1"/>
  </mergeCells>
  <dataValidations count="2">
    <dataValidation sqref="C3:C51" showDropDown="0" showInputMessage="0" showErrorMessage="0" allowBlank="1" type="list">
      <formula1>"M,F"</formula1>
    </dataValidation>
    <dataValidation sqref="B3:B51" showDropDown="0" showInputMessage="0" showErrorMessage="0" allowBlank="1" type="list">
      <formula1>"5,6,7,8"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9" customWidth="1" min="19" max="19"/>
    <col width="8" customWidth="1" min="20" max="20"/>
    <col width="26" customWidth="1" min="21" max="21"/>
  </cols>
  <sheetData>
    <row r="1" ht="22" customHeight="1">
      <c r="A1" s="5" t="inlineStr">
        <is>
          <t>Athlete Event Signup</t>
        </is>
      </c>
    </row>
    <row r="2">
      <c r="D2" s="9" t="inlineStr">
        <is>
          <t>RUNNING EVENTS (type X, or A/B/C/D for relays)</t>
        </is>
      </c>
      <c r="M2" s="9" t="inlineStr">
        <is>
          <t>FIELD EVENTS (type X)</t>
        </is>
      </c>
      <c r="R2" s="9" t="inlineStr">
        <is>
          <t>SUMMARY</t>
        </is>
      </c>
    </row>
    <row r="3">
      <c r="A3" s="6" t="inlineStr">
        <is>
          <t>Name</t>
        </is>
      </c>
      <c r="B3" s="6" t="inlineStr">
        <is>
          <t>Grade</t>
        </is>
      </c>
      <c r="C3" s="6" t="inlineStr">
        <is>
          <t>Gender</t>
        </is>
      </c>
      <c r="D3" s="10" t="inlineStr">
        <is>
          <t>75mH</t>
        </is>
      </c>
      <c r="E3" s="10" t="inlineStr">
        <is>
          <t>100m</t>
        </is>
      </c>
      <c r="F3" s="10" t="inlineStr">
        <is>
          <t>4x200</t>
        </is>
      </c>
      <c r="G3" s="10" t="inlineStr">
        <is>
          <t>1600m</t>
        </is>
      </c>
      <c r="H3" s="10" t="inlineStr">
        <is>
          <t>4x100</t>
        </is>
      </c>
      <c r="I3" s="10" t="inlineStr">
        <is>
          <t>400m</t>
        </is>
      </c>
      <c r="J3" s="10" t="inlineStr">
        <is>
          <t>800m</t>
        </is>
      </c>
      <c r="K3" s="10" t="inlineStr">
        <is>
          <t>200m</t>
        </is>
      </c>
      <c r="L3" s="10" t="inlineStr">
        <is>
          <t>4x400</t>
        </is>
      </c>
      <c r="M3" s="11" t="inlineStr">
        <is>
          <t>SP</t>
        </is>
      </c>
      <c r="N3" s="11" t="inlineStr">
        <is>
          <t>DISC</t>
        </is>
      </c>
      <c r="O3" s="11" t="inlineStr">
        <is>
          <t>LJ</t>
        </is>
      </c>
      <c r="P3" s="11" t="inlineStr">
        <is>
          <t>TJ</t>
        </is>
      </c>
      <c r="Q3" s="11" t="inlineStr">
        <is>
          <t>HJ</t>
        </is>
      </c>
      <c r="R3" s="12" t="inlineStr">
        <is>
          <t>Run #</t>
        </is>
      </c>
      <c r="S3" s="12" t="inlineStr">
        <is>
          <t>Field #</t>
        </is>
      </c>
      <c r="T3" s="12" t="inlineStr">
        <is>
          <t>Total</t>
        </is>
      </c>
      <c r="U3" s="12" t="inlineStr">
        <is>
          <t>Valid?</t>
        </is>
      </c>
    </row>
    <row r="4">
      <c r="A4" s="7">
        <f>IF(Roster!A3="","",Roster!A3)</f>
        <v/>
      </c>
      <c r="B4" s="8">
        <f>IF(Roster!B3="","",Roster!B3)</f>
        <v/>
      </c>
      <c r="C4" s="8">
        <f>IF(Roster!C3="","",Roster!C3)</f>
        <v/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13">
        <f>IF(A4="","",COUNTA(D4:L4))</f>
        <v/>
      </c>
      <c r="S4" s="13">
        <f>IF(A4="","",COUNTA(M4:Q4))</f>
        <v/>
      </c>
      <c r="T4" s="13">
        <f>IF(A4="","",R4+S4)</f>
        <v/>
      </c>
      <c r="U4" s="13">
        <f>IF(A4="","",IF(T4=0,"",IF(T4&gt;4,"❌ Over 4 events",IF(AND(T4=4,NOT(OR(AND(R4=3,S4=1),AND(R4=1,S4=3)))),"⚠ Must be 3+1 or 1+3","✓ OK"))))</f>
        <v/>
      </c>
    </row>
    <row r="5">
      <c r="A5" s="7">
        <f>IF(Roster!A4="","",Roster!A4)</f>
        <v/>
      </c>
      <c r="B5" s="8">
        <f>IF(Roster!B4="","",Roster!B4)</f>
        <v/>
      </c>
      <c r="C5" s="8">
        <f>IF(Roster!C4="","",Roster!C4)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13">
        <f>IF(A5="","",COUNTA(D5:L5))</f>
        <v/>
      </c>
      <c r="S5" s="13">
        <f>IF(A5="","",COUNTA(M5:Q5))</f>
        <v/>
      </c>
      <c r="T5" s="13">
        <f>IF(A5="","",R5+S5)</f>
        <v/>
      </c>
      <c r="U5" s="13">
        <f>IF(A5="","",IF(T5=0,"",IF(T5&gt;4,"❌ Over 4 events",IF(AND(T5=4,NOT(OR(AND(R5=3,S5=1),AND(R5=1,S5=3)))),"⚠ Must be 3+1 or 1+3","✓ OK"))))</f>
        <v/>
      </c>
    </row>
    <row r="6">
      <c r="A6" s="7">
        <f>IF(Roster!A5="","",Roster!A5)</f>
        <v/>
      </c>
      <c r="B6" s="8">
        <f>IF(Roster!B5="","",Roster!B5)</f>
        <v/>
      </c>
      <c r="C6" s="8">
        <f>IF(Roster!C5="","",Roster!C5)</f>
        <v/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13">
        <f>IF(A6="","",COUNTA(D6:L6))</f>
        <v/>
      </c>
      <c r="S6" s="13">
        <f>IF(A6="","",COUNTA(M6:Q6))</f>
        <v/>
      </c>
      <c r="T6" s="13">
        <f>IF(A6="","",R6+S6)</f>
        <v/>
      </c>
      <c r="U6" s="13">
        <f>IF(A6="","",IF(T6=0,"",IF(T6&gt;4,"❌ Over 4 events",IF(AND(T6=4,NOT(OR(AND(R6=3,S6=1),AND(R6=1,S6=3)))),"⚠ Must be 3+1 or 1+3","✓ OK"))))</f>
        <v/>
      </c>
    </row>
    <row r="7">
      <c r="A7" s="7">
        <f>IF(Roster!A6="","",Roster!A6)</f>
        <v/>
      </c>
      <c r="B7" s="8">
        <f>IF(Roster!B6="","",Roster!B6)</f>
        <v/>
      </c>
      <c r="C7" s="8">
        <f>IF(Roster!C6="","",Roster!C6)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3">
        <f>IF(A7="","",COUNTA(D7:L7))</f>
        <v/>
      </c>
      <c r="S7" s="13">
        <f>IF(A7="","",COUNTA(M7:Q7))</f>
        <v/>
      </c>
      <c r="T7" s="13">
        <f>IF(A7="","",R7+S7)</f>
        <v/>
      </c>
      <c r="U7" s="13">
        <f>IF(A7="","",IF(T7=0,"",IF(T7&gt;4,"❌ Over 4 events",IF(AND(T7=4,NOT(OR(AND(R7=3,S7=1),AND(R7=1,S7=3)))),"⚠ Must be 3+1 or 1+3","✓ OK"))))</f>
        <v/>
      </c>
    </row>
    <row r="8">
      <c r="A8" s="7">
        <f>IF(Roster!A7="","",Roster!A7)</f>
        <v/>
      </c>
      <c r="B8" s="8">
        <f>IF(Roster!B7="","",Roster!B7)</f>
        <v/>
      </c>
      <c r="C8" s="8">
        <f>IF(Roster!C7="","",Roster!C7)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13">
        <f>IF(A8="","",COUNTA(D8:L8))</f>
        <v/>
      </c>
      <c r="S8" s="13">
        <f>IF(A8="","",COUNTA(M8:Q8))</f>
        <v/>
      </c>
      <c r="T8" s="13">
        <f>IF(A8="","",R8+S8)</f>
        <v/>
      </c>
      <c r="U8" s="13">
        <f>IF(A8="","",IF(T8=0,"",IF(T8&gt;4,"❌ Over 4 events",IF(AND(T8=4,NOT(OR(AND(R8=3,S8=1),AND(R8=1,S8=3)))),"⚠ Must be 3+1 or 1+3","✓ OK"))))</f>
        <v/>
      </c>
    </row>
    <row r="9">
      <c r="A9" s="7">
        <f>IF(Roster!A8="","",Roster!A8)</f>
        <v/>
      </c>
      <c r="B9" s="8">
        <f>IF(Roster!B8="","",Roster!B8)</f>
        <v/>
      </c>
      <c r="C9" s="8">
        <f>IF(Roster!C8="","",Roster!C8)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13">
        <f>IF(A9="","",COUNTA(D9:L9))</f>
        <v/>
      </c>
      <c r="S9" s="13">
        <f>IF(A9="","",COUNTA(M9:Q9))</f>
        <v/>
      </c>
      <c r="T9" s="13">
        <f>IF(A9="","",R9+S9)</f>
        <v/>
      </c>
      <c r="U9" s="13">
        <f>IF(A9="","",IF(T9=0,"",IF(T9&gt;4,"❌ Over 4 events",IF(AND(T9=4,NOT(OR(AND(R9=3,S9=1),AND(R9=1,S9=3)))),"⚠ Must be 3+1 or 1+3","✓ OK"))))</f>
        <v/>
      </c>
    </row>
    <row r="10">
      <c r="A10" s="7">
        <f>IF(Roster!A9="","",Roster!A9)</f>
        <v/>
      </c>
      <c r="B10" s="8">
        <f>IF(Roster!B9="","",Roster!B9)</f>
        <v/>
      </c>
      <c r="C10" s="8">
        <f>IF(Roster!C9="","",Roster!C9)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3">
        <f>IF(A10="","",COUNTA(D10:L10))</f>
        <v/>
      </c>
      <c r="S10" s="13">
        <f>IF(A10="","",COUNTA(M10:Q10))</f>
        <v/>
      </c>
      <c r="T10" s="13">
        <f>IF(A10="","",R10+S10)</f>
        <v/>
      </c>
      <c r="U10" s="13">
        <f>IF(A10="","",IF(T10=0,"",IF(T10&gt;4,"❌ Over 4 events",IF(AND(T10=4,NOT(OR(AND(R10=3,S10=1),AND(R10=1,S10=3)))),"⚠ Must be 3+1 or 1+3","✓ OK"))))</f>
        <v/>
      </c>
    </row>
    <row r="11">
      <c r="A11" s="7">
        <f>IF(Roster!A10="","",Roster!A10)</f>
        <v/>
      </c>
      <c r="B11" s="8">
        <f>IF(Roster!B10="","",Roster!B10)</f>
        <v/>
      </c>
      <c r="C11" s="8">
        <f>IF(Roster!C10="","",Roster!C10)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3">
        <f>IF(A11="","",COUNTA(D11:L11))</f>
        <v/>
      </c>
      <c r="S11" s="13">
        <f>IF(A11="","",COUNTA(M11:Q11))</f>
        <v/>
      </c>
      <c r="T11" s="13">
        <f>IF(A11="","",R11+S11)</f>
        <v/>
      </c>
      <c r="U11" s="13">
        <f>IF(A11="","",IF(T11=0,"",IF(T11&gt;4,"❌ Over 4 events",IF(AND(T11=4,NOT(OR(AND(R11=3,S11=1),AND(R11=1,S11=3)))),"⚠ Must be 3+1 or 1+3","✓ OK"))))</f>
        <v/>
      </c>
    </row>
    <row r="12">
      <c r="A12" s="7">
        <f>IF(Roster!A11="","",Roster!A11)</f>
        <v/>
      </c>
      <c r="B12" s="8">
        <f>IF(Roster!B11="","",Roster!B11)</f>
        <v/>
      </c>
      <c r="C12" s="8">
        <f>IF(Roster!C11="","",Roster!C11)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3">
        <f>IF(A12="","",COUNTA(D12:L12))</f>
        <v/>
      </c>
      <c r="S12" s="13">
        <f>IF(A12="","",COUNTA(M12:Q12))</f>
        <v/>
      </c>
      <c r="T12" s="13">
        <f>IF(A12="","",R12+S12)</f>
        <v/>
      </c>
      <c r="U12" s="13">
        <f>IF(A12="","",IF(T12=0,"",IF(T12&gt;4,"❌ Over 4 events",IF(AND(T12=4,NOT(OR(AND(R12=3,S12=1),AND(R12=1,S12=3)))),"⚠ Must be 3+1 or 1+3","✓ OK"))))</f>
        <v/>
      </c>
    </row>
    <row r="13">
      <c r="A13" s="7">
        <f>IF(Roster!A12="","",Roster!A12)</f>
        <v/>
      </c>
      <c r="B13" s="8">
        <f>IF(Roster!B12="","",Roster!B12)</f>
        <v/>
      </c>
      <c r="C13" s="8">
        <f>IF(Roster!C12="","",Roster!C12)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13">
        <f>IF(A13="","",COUNTA(D13:L13))</f>
        <v/>
      </c>
      <c r="S13" s="13">
        <f>IF(A13="","",COUNTA(M13:Q13))</f>
        <v/>
      </c>
      <c r="T13" s="13">
        <f>IF(A13="","",R13+S13)</f>
        <v/>
      </c>
      <c r="U13" s="13">
        <f>IF(A13="","",IF(T13=0,"",IF(T13&gt;4,"❌ Over 4 events",IF(AND(T13=4,NOT(OR(AND(R13=3,S13=1),AND(R13=1,S13=3)))),"⚠ Must be 3+1 or 1+3","✓ OK"))))</f>
        <v/>
      </c>
    </row>
    <row r="14">
      <c r="A14" s="7">
        <f>IF(Roster!A13="","",Roster!A13)</f>
        <v/>
      </c>
      <c r="B14" s="8">
        <f>IF(Roster!B13="","",Roster!B13)</f>
        <v/>
      </c>
      <c r="C14" s="8">
        <f>IF(Roster!C13="","",Roster!C13)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3">
        <f>IF(A14="","",COUNTA(D14:L14))</f>
        <v/>
      </c>
      <c r="S14" s="13">
        <f>IF(A14="","",COUNTA(M14:Q14))</f>
        <v/>
      </c>
      <c r="T14" s="13">
        <f>IF(A14="","",R14+S14)</f>
        <v/>
      </c>
      <c r="U14" s="13">
        <f>IF(A14="","",IF(T14=0,"",IF(T14&gt;4,"❌ Over 4 events",IF(AND(T14=4,NOT(OR(AND(R14=3,S14=1),AND(R14=1,S14=3)))),"⚠ Must be 3+1 or 1+3","✓ OK"))))</f>
        <v/>
      </c>
    </row>
    <row r="15">
      <c r="A15" s="7">
        <f>IF(Roster!A14="","",Roster!A14)</f>
        <v/>
      </c>
      <c r="B15" s="8">
        <f>IF(Roster!B14="","",Roster!B14)</f>
        <v/>
      </c>
      <c r="C15" s="8">
        <f>IF(Roster!C14="","",Roster!C14)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13">
        <f>IF(A15="","",COUNTA(D15:L15))</f>
        <v/>
      </c>
      <c r="S15" s="13">
        <f>IF(A15="","",COUNTA(M15:Q15))</f>
        <v/>
      </c>
      <c r="T15" s="13">
        <f>IF(A15="","",R15+S15)</f>
        <v/>
      </c>
      <c r="U15" s="13">
        <f>IF(A15="","",IF(T15=0,"",IF(T15&gt;4,"❌ Over 4 events",IF(AND(T15=4,NOT(OR(AND(R15=3,S15=1),AND(R15=1,S15=3)))),"⚠ Must be 3+1 or 1+3","✓ OK"))))</f>
        <v/>
      </c>
    </row>
    <row r="16">
      <c r="A16" s="7">
        <f>IF(Roster!A15="","",Roster!A15)</f>
        <v/>
      </c>
      <c r="B16" s="8">
        <f>IF(Roster!B15="","",Roster!B15)</f>
        <v/>
      </c>
      <c r="C16" s="8">
        <f>IF(Roster!C15="","",Roster!C15)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13">
        <f>IF(A16="","",COUNTA(D16:L16))</f>
        <v/>
      </c>
      <c r="S16" s="13">
        <f>IF(A16="","",COUNTA(M16:Q16))</f>
        <v/>
      </c>
      <c r="T16" s="13">
        <f>IF(A16="","",R16+S16)</f>
        <v/>
      </c>
      <c r="U16" s="13">
        <f>IF(A16="","",IF(T16=0,"",IF(T16&gt;4,"❌ Over 4 events",IF(AND(T16=4,NOT(OR(AND(R16=3,S16=1),AND(R16=1,S16=3)))),"⚠ Must be 3+1 or 1+3","✓ OK"))))</f>
        <v/>
      </c>
    </row>
    <row r="17">
      <c r="A17" s="7">
        <f>IF(Roster!A16="","",Roster!A16)</f>
        <v/>
      </c>
      <c r="B17" s="8">
        <f>IF(Roster!B16="","",Roster!B16)</f>
        <v/>
      </c>
      <c r="C17" s="8">
        <f>IF(Roster!C16="","",Roster!C16)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3">
        <f>IF(A17="","",COUNTA(D17:L17))</f>
        <v/>
      </c>
      <c r="S17" s="13">
        <f>IF(A17="","",COUNTA(M17:Q17))</f>
        <v/>
      </c>
      <c r="T17" s="13">
        <f>IF(A17="","",R17+S17)</f>
        <v/>
      </c>
      <c r="U17" s="13">
        <f>IF(A17="","",IF(T17=0,"",IF(T17&gt;4,"❌ Over 4 events",IF(AND(T17=4,NOT(OR(AND(R17=3,S17=1),AND(R17=1,S17=3)))),"⚠ Must be 3+1 or 1+3","✓ OK"))))</f>
        <v/>
      </c>
    </row>
    <row r="18">
      <c r="A18" s="7">
        <f>IF(Roster!A17="","",Roster!A17)</f>
        <v/>
      </c>
      <c r="B18" s="8">
        <f>IF(Roster!B17="","",Roster!B17)</f>
        <v/>
      </c>
      <c r="C18" s="8">
        <f>IF(Roster!C17="","",Roster!C17)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13">
        <f>IF(A18="","",COUNTA(D18:L18))</f>
        <v/>
      </c>
      <c r="S18" s="13">
        <f>IF(A18="","",COUNTA(M18:Q18))</f>
        <v/>
      </c>
      <c r="T18" s="13">
        <f>IF(A18="","",R18+S18)</f>
        <v/>
      </c>
      <c r="U18" s="13">
        <f>IF(A18="","",IF(T18=0,"",IF(T18&gt;4,"❌ Over 4 events",IF(AND(T18=4,NOT(OR(AND(R18=3,S18=1),AND(R18=1,S18=3)))),"⚠ Must be 3+1 or 1+3","✓ OK"))))</f>
        <v/>
      </c>
    </row>
    <row r="19">
      <c r="A19" s="7">
        <f>IF(Roster!A18="","",Roster!A18)</f>
        <v/>
      </c>
      <c r="B19" s="8">
        <f>IF(Roster!B18="","",Roster!B18)</f>
        <v/>
      </c>
      <c r="C19" s="8">
        <f>IF(Roster!C18="","",Roster!C18)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3">
        <f>IF(A19="","",COUNTA(D19:L19))</f>
        <v/>
      </c>
      <c r="S19" s="13">
        <f>IF(A19="","",COUNTA(M19:Q19))</f>
        <v/>
      </c>
      <c r="T19" s="13">
        <f>IF(A19="","",R19+S19)</f>
        <v/>
      </c>
      <c r="U19" s="13">
        <f>IF(A19="","",IF(T19=0,"",IF(T19&gt;4,"❌ Over 4 events",IF(AND(T19=4,NOT(OR(AND(R19=3,S19=1),AND(R19=1,S19=3)))),"⚠ Must be 3+1 or 1+3","✓ OK"))))</f>
        <v/>
      </c>
    </row>
    <row r="20">
      <c r="A20" s="7">
        <f>IF(Roster!A19="","",Roster!A19)</f>
        <v/>
      </c>
      <c r="B20" s="8">
        <f>IF(Roster!B19="","",Roster!B19)</f>
        <v/>
      </c>
      <c r="C20" s="8">
        <f>IF(Roster!C19="","",Roster!C19)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13">
        <f>IF(A20="","",COUNTA(D20:L20))</f>
        <v/>
      </c>
      <c r="S20" s="13">
        <f>IF(A20="","",COUNTA(M20:Q20))</f>
        <v/>
      </c>
      <c r="T20" s="13">
        <f>IF(A20="","",R20+S20)</f>
        <v/>
      </c>
      <c r="U20" s="13">
        <f>IF(A20="","",IF(T20=0,"",IF(T20&gt;4,"❌ Over 4 events",IF(AND(T20=4,NOT(OR(AND(R20=3,S20=1),AND(R20=1,S20=3)))),"⚠ Must be 3+1 or 1+3","✓ OK"))))</f>
        <v/>
      </c>
    </row>
    <row r="21">
      <c r="A21" s="7">
        <f>IF(Roster!A20="","",Roster!A20)</f>
        <v/>
      </c>
      <c r="B21" s="8">
        <f>IF(Roster!B20="","",Roster!B20)</f>
        <v/>
      </c>
      <c r="C21" s="8">
        <f>IF(Roster!C20="","",Roster!C20)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13">
        <f>IF(A21="","",COUNTA(D21:L21))</f>
        <v/>
      </c>
      <c r="S21" s="13">
        <f>IF(A21="","",COUNTA(M21:Q21))</f>
        <v/>
      </c>
      <c r="T21" s="13">
        <f>IF(A21="","",R21+S21)</f>
        <v/>
      </c>
      <c r="U21" s="13">
        <f>IF(A21="","",IF(T21=0,"",IF(T21&gt;4,"❌ Over 4 events",IF(AND(T21=4,NOT(OR(AND(R21=3,S21=1),AND(R21=1,S21=3)))),"⚠ Must be 3+1 or 1+3","✓ OK"))))</f>
        <v/>
      </c>
    </row>
    <row r="22">
      <c r="A22" s="7">
        <f>IF(Roster!A21="","",Roster!A21)</f>
        <v/>
      </c>
      <c r="B22" s="8">
        <f>IF(Roster!B21="","",Roster!B21)</f>
        <v/>
      </c>
      <c r="C22" s="8">
        <f>IF(Roster!C21="","",Roster!C21)</f>
        <v/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13">
        <f>IF(A22="","",COUNTA(D22:L22))</f>
        <v/>
      </c>
      <c r="S22" s="13">
        <f>IF(A22="","",COUNTA(M22:Q22))</f>
        <v/>
      </c>
      <c r="T22" s="13">
        <f>IF(A22="","",R22+S22)</f>
        <v/>
      </c>
      <c r="U22" s="13">
        <f>IF(A22="","",IF(T22=0,"",IF(T22&gt;4,"❌ Over 4 events",IF(AND(T22=4,NOT(OR(AND(R22=3,S22=1),AND(R22=1,S22=3)))),"⚠ Must be 3+1 or 1+3","✓ OK"))))</f>
        <v/>
      </c>
    </row>
    <row r="23">
      <c r="A23" s="7">
        <f>IF(Roster!A22="","",Roster!A22)</f>
        <v/>
      </c>
      <c r="B23" s="8">
        <f>IF(Roster!B22="","",Roster!B22)</f>
        <v/>
      </c>
      <c r="C23" s="8">
        <f>IF(Roster!C22="","",Roster!C22)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13">
        <f>IF(A23="","",COUNTA(D23:L23))</f>
        <v/>
      </c>
      <c r="S23" s="13">
        <f>IF(A23="","",COUNTA(M23:Q23))</f>
        <v/>
      </c>
      <c r="T23" s="13">
        <f>IF(A23="","",R23+S23)</f>
        <v/>
      </c>
      <c r="U23" s="13">
        <f>IF(A23="","",IF(T23=0,"",IF(T23&gt;4,"❌ Over 4 events",IF(AND(T23=4,NOT(OR(AND(R23=3,S23=1),AND(R23=1,S23=3)))),"⚠ Must be 3+1 or 1+3","✓ OK"))))</f>
        <v/>
      </c>
    </row>
    <row r="24">
      <c r="A24" s="7">
        <f>IF(Roster!A23="","",Roster!A23)</f>
        <v/>
      </c>
      <c r="B24" s="8">
        <f>IF(Roster!B23="","",Roster!B23)</f>
        <v/>
      </c>
      <c r="C24" s="8">
        <f>IF(Roster!C23="","",Roster!C23)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13">
        <f>IF(A24="","",COUNTA(D24:L24))</f>
        <v/>
      </c>
      <c r="S24" s="13">
        <f>IF(A24="","",COUNTA(M24:Q24))</f>
        <v/>
      </c>
      <c r="T24" s="13">
        <f>IF(A24="","",R24+S24)</f>
        <v/>
      </c>
      <c r="U24" s="13">
        <f>IF(A24="","",IF(T24=0,"",IF(T24&gt;4,"❌ Over 4 events",IF(AND(T24=4,NOT(OR(AND(R24=3,S24=1),AND(R24=1,S24=3)))),"⚠ Must be 3+1 or 1+3","✓ OK"))))</f>
        <v/>
      </c>
    </row>
    <row r="25">
      <c r="A25" s="7">
        <f>IF(Roster!A24="","",Roster!A24)</f>
        <v/>
      </c>
      <c r="B25" s="8">
        <f>IF(Roster!B24="","",Roster!B24)</f>
        <v/>
      </c>
      <c r="C25" s="8">
        <f>IF(Roster!C24="","",Roster!C24)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13">
        <f>IF(A25="","",COUNTA(D25:L25))</f>
        <v/>
      </c>
      <c r="S25" s="13">
        <f>IF(A25="","",COUNTA(M25:Q25))</f>
        <v/>
      </c>
      <c r="T25" s="13">
        <f>IF(A25="","",R25+S25)</f>
        <v/>
      </c>
      <c r="U25" s="13">
        <f>IF(A25="","",IF(T25=0,"",IF(T25&gt;4,"❌ Over 4 events",IF(AND(T25=4,NOT(OR(AND(R25=3,S25=1),AND(R25=1,S25=3)))),"⚠ Must be 3+1 or 1+3","✓ OK"))))</f>
        <v/>
      </c>
    </row>
    <row r="26">
      <c r="A26" s="7">
        <f>IF(Roster!A25="","",Roster!A25)</f>
        <v/>
      </c>
      <c r="B26" s="8">
        <f>IF(Roster!B25="","",Roster!B25)</f>
        <v/>
      </c>
      <c r="C26" s="8">
        <f>IF(Roster!C25="","",Roster!C25)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13">
        <f>IF(A26="","",COUNTA(D26:L26))</f>
        <v/>
      </c>
      <c r="S26" s="13">
        <f>IF(A26="","",COUNTA(M26:Q26))</f>
        <v/>
      </c>
      <c r="T26" s="13">
        <f>IF(A26="","",R26+S26)</f>
        <v/>
      </c>
      <c r="U26" s="13">
        <f>IF(A26="","",IF(T26=0,"",IF(T26&gt;4,"❌ Over 4 events",IF(AND(T26=4,NOT(OR(AND(R26=3,S26=1),AND(R26=1,S26=3)))),"⚠ Must be 3+1 or 1+3","✓ OK"))))</f>
        <v/>
      </c>
    </row>
    <row r="27">
      <c r="A27" s="7">
        <f>IF(Roster!A26="","",Roster!A26)</f>
        <v/>
      </c>
      <c r="B27" s="8">
        <f>IF(Roster!B26="","",Roster!B26)</f>
        <v/>
      </c>
      <c r="C27" s="8">
        <f>IF(Roster!C26="","",Roster!C26)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3">
        <f>IF(A27="","",COUNTA(D27:L27))</f>
        <v/>
      </c>
      <c r="S27" s="13">
        <f>IF(A27="","",COUNTA(M27:Q27))</f>
        <v/>
      </c>
      <c r="T27" s="13">
        <f>IF(A27="","",R27+S27)</f>
        <v/>
      </c>
      <c r="U27" s="13">
        <f>IF(A27="","",IF(T27=0,"",IF(T27&gt;4,"❌ Over 4 events",IF(AND(T27=4,NOT(OR(AND(R27=3,S27=1),AND(R27=1,S27=3)))),"⚠ Must be 3+1 or 1+3","✓ OK"))))</f>
        <v/>
      </c>
    </row>
    <row r="28">
      <c r="A28" s="7">
        <f>IF(Roster!A27="","",Roster!A27)</f>
        <v/>
      </c>
      <c r="B28" s="8">
        <f>IF(Roster!B27="","",Roster!B27)</f>
        <v/>
      </c>
      <c r="C28" s="8">
        <f>IF(Roster!C27="","",Roster!C27)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13">
        <f>IF(A28="","",COUNTA(D28:L28))</f>
        <v/>
      </c>
      <c r="S28" s="13">
        <f>IF(A28="","",COUNTA(M28:Q28))</f>
        <v/>
      </c>
      <c r="T28" s="13">
        <f>IF(A28="","",R28+S28)</f>
        <v/>
      </c>
      <c r="U28" s="13">
        <f>IF(A28="","",IF(T28=0,"",IF(T28&gt;4,"❌ Over 4 events",IF(AND(T28=4,NOT(OR(AND(R28=3,S28=1),AND(R28=1,S28=3)))),"⚠ Must be 3+1 or 1+3","✓ OK"))))</f>
        <v/>
      </c>
    </row>
    <row r="29">
      <c r="A29" s="7">
        <f>IF(Roster!A28="","",Roster!A28)</f>
        <v/>
      </c>
      <c r="B29" s="8">
        <f>IF(Roster!B28="","",Roster!B28)</f>
        <v/>
      </c>
      <c r="C29" s="8">
        <f>IF(Roster!C28="","",Roster!C28)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13">
        <f>IF(A29="","",COUNTA(D29:L29))</f>
        <v/>
      </c>
      <c r="S29" s="13">
        <f>IF(A29="","",COUNTA(M29:Q29))</f>
        <v/>
      </c>
      <c r="T29" s="13">
        <f>IF(A29="","",R29+S29)</f>
        <v/>
      </c>
      <c r="U29" s="13">
        <f>IF(A29="","",IF(T29=0,"",IF(T29&gt;4,"❌ Over 4 events",IF(AND(T29=4,NOT(OR(AND(R29=3,S29=1),AND(R29=1,S29=3)))),"⚠ Must be 3+1 or 1+3","✓ OK"))))</f>
        <v/>
      </c>
    </row>
    <row r="30">
      <c r="A30" s="7">
        <f>IF(Roster!A29="","",Roster!A29)</f>
        <v/>
      </c>
      <c r="B30" s="8">
        <f>IF(Roster!B29="","",Roster!B29)</f>
        <v/>
      </c>
      <c r="C30" s="8">
        <f>IF(Roster!C29="","",Roster!C29)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13">
        <f>IF(A30="","",COUNTA(D30:L30))</f>
        <v/>
      </c>
      <c r="S30" s="13">
        <f>IF(A30="","",COUNTA(M30:Q30))</f>
        <v/>
      </c>
      <c r="T30" s="13">
        <f>IF(A30="","",R30+S30)</f>
        <v/>
      </c>
      <c r="U30" s="13">
        <f>IF(A30="","",IF(T30=0,"",IF(T30&gt;4,"❌ Over 4 events",IF(AND(T30=4,NOT(OR(AND(R30=3,S30=1),AND(R30=1,S30=3)))),"⚠ Must be 3+1 or 1+3","✓ OK"))))</f>
        <v/>
      </c>
    </row>
    <row r="31">
      <c r="A31" s="7">
        <f>IF(Roster!A30="","",Roster!A30)</f>
        <v/>
      </c>
      <c r="B31" s="8">
        <f>IF(Roster!B30="","",Roster!B30)</f>
        <v/>
      </c>
      <c r="C31" s="8">
        <f>IF(Roster!C30="","",Roster!C30)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13">
        <f>IF(A31="","",COUNTA(D31:L31))</f>
        <v/>
      </c>
      <c r="S31" s="13">
        <f>IF(A31="","",COUNTA(M31:Q31))</f>
        <v/>
      </c>
      <c r="T31" s="13">
        <f>IF(A31="","",R31+S31)</f>
        <v/>
      </c>
      <c r="U31" s="13">
        <f>IF(A31="","",IF(T31=0,"",IF(T31&gt;4,"❌ Over 4 events",IF(AND(T31=4,NOT(OR(AND(R31=3,S31=1),AND(R31=1,S31=3)))),"⚠ Must be 3+1 or 1+3","✓ OK"))))</f>
        <v/>
      </c>
    </row>
    <row r="32">
      <c r="A32" s="7">
        <f>IF(Roster!A31="","",Roster!A31)</f>
        <v/>
      </c>
      <c r="B32" s="8">
        <f>IF(Roster!B31="","",Roster!B31)</f>
        <v/>
      </c>
      <c r="C32" s="8">
        <f>IF(Roster!C31="","",Roster!C31)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13">
        <f>IF(A32="","",COUNTA(D32:L32))</f>
        <v/>
      </c>
      <c r="S32" s="13">
        <f>IF(A32="","",COUNTA(M32:Q32))</f>
        <v/>
      </c>
      <c r="T32" s="13">
        <f>IF(A32="","",R32+S32)</f>
        <v/>
      </c>
      <c r="U32" s="13">
        <f>IF(A32="","",IF(T32=0,"",IF(T32&gt;4,"❌ Over 4 events",IF(AND(T32=4,NOT(OR(AND(R32=3,S32=1),AND(R32=1,S32=3)))),"⚠ Must be 3+1 or 1+3","✓ OK"))))</f>
        <v/>
      </c>
    </row>
    <row r="33">
      <c r="A33" s="7">
        <f>IF(Roster!A32="","",Roster!A32)</f>
        <v/>
      </c>
      <c r="B33" s="8">
        <f>IF(Roster!B32="","",Roster!B32)</f>
        <v/>
      </c>
      <c r="C33" s="8">
        <f>IF(Roster!C32="","",Roster!C32)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13">
        <f>IF(A33="","",COUNTA(D33:L33))</f>
        <v/>
      </c>
      <c r="S33" s="13">
        <f>IF(A33="","",COUNTA(M33:Q33))</f>
        <v/>
      </c>
      <c r="T33" s="13">
        <f>IF(A33="","",R33+S33)</f>
        <v/>
      </c>
      <c r="U33" s="13">
        <f>IF(A33="","",IF(T33=0,"",IF(T33&gt;4,"❌ Over 4 events",IF(AND(T33=4,NOT(OR(AND(R33=3,S33=1),AND(R33=1,S33=3)))),"⚠ Must be 3+1 or 1+3","✓ OK"))))</f>
        <v/>
      </c>
    </row>
    <row r="34">
      <c r="A34" s="7">
        <f>IF(Roster!A33="","",Roster!A33)</f>
        <v/>
      </c>
      <c r="B34" s="8">
        <f>IF(Roster!B33="","",Roster!B33)</f>
        <v/>
      </c>
      <c r="C34" s="8">
        <f>IF(Roster!C33="","",Roster!C33)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13">
        <f>IF(A34="","",COUNTA(D34:L34))</f>
        <v/>
      </c>
      <c r="S34" s="13">
        <f>IF(A34="","",COUNTA(M34:Q34))</f>
        <v/>
      </c>
      <c r="T34" s="13">
        <f>IF(A34="","",R34+S34)</f>
        <v/>
      </c>
      <c r="U34" s="13">
        <f>IF(A34="","",IF(T34=0,"",IF(T34&gt;4,"❌ Over 4 events",IF(AND(T34=4,NOT(OR(AND(R34=3,S34=1),AND(R34=1,S34=3)))),"⚠ Must be 3+1 or 1+3","✓ OK"))))</f>
        <v/>
      </c>
    </row>
    <row r="35">
      <c r="A35" s="7">
        <f>IF(Roster!A34="","",Roster!A34)</f>
        <v/>
      </c>
      <c r="B35" s="8">
        <f>IF(Roster!B34="","",Roster!B34)</f>
        <v/>
      </c>
      <c r="C35" s="8">
        <f>IF(Roster!C34="","",Roster!C34)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13">
        <f>IF(A35="","",COUNTA(D35:L35))</f>
        <v/>
      </c>
      <c r="S35" s="13">
        <f>IF(A35="","",COUNTA(M35:Q35))</f>
        <v/>
      </c>
      <c r="T35" s="13">
        <f>IF(A35="","",R35+S35)</f>
        <v/>
      </c>
      <c r="U35" s="13">
        <f>IF(A35="","",IF(T35=0,"",IF(T35&gt;4,"❌ Over 4 events",IF(AND(T35=4,NOT(OR(AND(R35=3,S35=1),AND(R35=1,S35=3)))),"⚠ Must be 3+1 or 1+3","✓ OK"))))</f>
        <v/>
      </c>
    </row>
    <row r="36">
      <c r="A36" s="7">
        <f>IF(Roster!A35="","",Roster!A35)</f>
        <v/>
      </c>
      <c r="B36" s="8">
        <f>IF(Roster!B35="","",Roster!B35)</f>
        <v/>
      </c>
      <c r="C36" s="8">
        <f>IF(Roster!C35="","",Roster!C35)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13">
        <f>IF(A36="","",COUNTA(D36:L36))</f>
        <v/>
      </c>
      <c r="S36" s="13">
        <f>IF(A36="","",COUNTA(M36:Q36))</f>
        <v/>
      </c>
      <c r="T36" s="13">
        <f>IF(A36="","",R36+S36)</f>
        <v/>
      </c>
      <c r="U36" s="13">
        <f>IF(A36="","",IF(T36=0,"",IF(T36&gt;4,"❌ Over 4 events",IF(AND(T36=4,NOT(OR(AND(R36=3,S36=1),AND(R36=1,S36=3)))),"⚠ Must be 3+1 or 1+3","✓ OK"))))</f>
        <v/>
      </c>
    </row>
    <row r="37">
      <c r="A37" s="7">
        <f>IF(Roster!A36="","",Roster!A36)</f>
        <v/>
      </c>
      <c r="B37" s="8">
        <f>IF(Roster!B36="","",Roster!B36)</f>
        <v/>
      </c>
      <c r="C37" s="8">
        <f>IF(Roster!C36="","",Roster!C36)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13">
        <f>IF(A37="","",COUNTA(D37:L37))</f>
        <v/>
      </c>
      <c r="S37" s="13">
        <f>IF(A37="","",COUNTA(M37:Q37))</f>
        <v/>
      </c>
      <c r="T37" s="13">
        <f>IF(A37="","",R37+S37)</f>
        <v/>
      </c>
      <c r="U37" s="13">
        <f>IF(A37="","",IF(T37=0,"",IF(T37&gt;4,"❌ Over 4 events",IF(AND(T37=4,NOT(OR(AND(R37=3,S37=1),AND(R37=1,S37=3)))),"⚠ Must be 3+1 or 1+3","✓ OK"))))</f>
        <v/>
      </c>
    </row>
    <row r="38">
      <c r="A38" s="7">
        <f>IF(Roster!A37="","",Roster!A37)</f>
        <v/>
      </c>
      <c r="B38" s="8">
        <f>IF(Roster!B37="","",Roster!B37)</f>
        <v/>
      </c>
      <c r="C38" s="8">
        <f>IF(Roster!C37="","",Roster!C37)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13">
        <f>IF(A38="","",COUNTA(D38:L38))</f>
        <v/>
      </c>
      <c r="S38" s="13">
        <f>IF(A38="","",COUNTA(M38:Q38))</f>
        <v/>
      </c>
      <c r="T38" s="13">
        <f>IF(A38="","",R38+S38)</f>
        <v/>
      </c>
      <c r="U38" s="13">
        <f>IF(A38="","",IF(T38=0,"",IF(T38&gt;4,"❌ Over 4 events",IF(AND(T38=4,NOT(OR(AND(R38=3,S38=1),AND(R38=1,S38=3)))),"⚠ Must be 3+1 or 1+3","✓ OK"))))</f>
        <v/>
      </c>
    </row>
    <row r="39">
      <c r="A39" s="7">
        <f>IF(Roster!A38="","",Roster!A38)</f>
        <v/>
      </c>
      <c r="B39" s="8">
        <f>IF(Roster!B38="","",Roster!B38)</f>
        <v/>
      </c>
      <c r="C39" s="8">
        <f>IF(Roster!C38="","",Roster!C38)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13">
        <f>IF(A39="","",COUNTA(D39:L39))</f>
        <v/>
      </c>
      <c r="S39" s="13">
        <f>IF(A39="","",COUNTA(M39:Q39))</f>
        <v/>
      </c>
      <c r="T39" s="13">
        <f>IF(A39="","",R39+S39)</f>
        <v/>
      </c>
      <c r="U39" s="13">
        <f>IF(A39="","",IF(T39=0,"",IF(T39&gt;4,"❌ Over 4 events",IF(AND(T39=4,NOT(OR(AND(R39=3,S39=1),AND(R39=1,S39=3)))),"⚠ Must be 3+1 or 1+3","✓ OK"))))</f>
        <v/>
      </c>
    </row>
    <row r="40">
      <c r="A40" s="7">
        <f>IF(Roster!A39="","",Roster!A39)</f>
        <v/>
      </c>
      <c r="B40" s="8">
        <f>IF(Roster!B39="","",Roster!B39)</f>
        <v/>
      </c>
      <c r="C40" s="8">
        <f>IF(Roster!C39="","",Roster!C39)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13">
        <f>IF(A40="","",COUNTA(D40:L40))</f>
        <v/>
      </c>
      <c r="S40" s="13">
        <f>IF(A40="","",COUNTA(M40:Q40))</f>
        <v/>
      </c>
      <c r="T40" s="13">
        <f>IF(A40="","",R40+S40)</f>
        <v/>
      </c>
      <c r="U40" s="13">
        <f>IF(A40="","",IF(T40=0,"",IF(T40&gt;4,"❌ Over 4 events",IF(AND(T40=4,NOT(OR(AND(R40=3,S40=1),AND(R40=1,S40=3)))),"⚠ Must be 3+1 or 1+3","✓ OK"))))</f>
        <v/>
      </c>
    </row>
    <row r="41">
      <c r="A41" s="7">
        <f>IF(Roster!A40="","",Roster!A40)</f>
        <v/>
      </c>
      <c r="B41" s="8">
        <f>IF(Roster!B40="","",Roster!B40)</f>
        <v/>
      </c>
      <c r="C41" s="8">
        <f>IF(Roster!C40="","",Roster!C40)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13">
        <f>IF(A41="","",COUNTA(D41:L41))</f>
        <v/>
      </c>
      <c r="S41" s="13">
        <f>IF(A41="","",COUNTA(M41:Q41))</f>
        <v/>
      </c>
      <c r="T41" s="13">
        <f>IF(A41="","",R41+S41)</f>
        <v/>
      </c>
      <c r="U41" s="13">
        <f>IF(A41="","",IF(T41=0,"",IF(T41&gt;4,"❌ Over 4 events",IF(AND(T41=4,NOT(OR(AND(R41=3,S41=1),AND(R41=1,S41=3)))),"⚠ Must be 3+1 or 1+3","✓ OK"))))</f>
        <v/>
      </c>
    </row>
    <row r="42">
      <c r="A42" s="7">
        <f>IF(Roster!A41="","",Roster!A41)</f>
        <v/>
      </c>
      <c r="B42" s="8">
        <f>IF(Roster!B41="","",Roster!B41)</f>
        <v/>
      </c>
      <c r="C42" s="8">
        <f>IF(Roster!C41="","",Roster!C41)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13">
        <f>IF(A42="","",COUNTA(D42:L42))</f>
        <v/>
      </c>
      <c r="S42" s="13">
        <f>IF(A42="","",COUNTA(M42:Q42))</f>
        <v/>
      </c>
      <c r="T42" s="13">
        <f>IF(A42="","",R42+S42)</f>
        <v/>
      </c>
      <c r="U42" s="13">
        <f>IF(A42="","",IF(T42=0,"",IF(T42&gt;4,"❌ Over 4 events",IF(AND(T42=4,NOT(OR(AND(R42=3,S42=1),AND(R42=1,S42=3)))),"⚠ Must be 3+1 or 1+3","✓ OK"))))</f>
        <v/>
      </c>
    </row>
    <row r="43">
      <c r="A43" s="7">
        <f>IF(Roster!A42="","",Roster!A42)</f>
        <v/>
      </c>
      <c r="B43" s="8">
        <f>IF(Roster!B42="","",Roster!B42)</f>
        <v/>
      </c>
      <c r="C43" s="8">
        <f>IF(Roster!C42="","",Roster!C42)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13">
        <f>IF(A43="","",COUNTA(D43:L43))</f>
        <v/>
      </c>
      <c r="S43" s="13">
        <f>IF(A43="","",COUNTA(M43:Q43))</f>
        <v/>
      </c>
      <c r="T43" s="13">
        <f>IF(A43="","",R43+S43)</f>
        <v/>
      </c>
      <c r="U43" s="13">
        <f>IF(A43="","",IF(T43=0,"",IF(T43&gt;4,"❌ Over 4 events",IF(AND(T43=4,NOT(OR(AND(R43=3,S43=1),AND(R43=1,S43=3)))),"⚠ Must be 3+1 or 1+3","✓ OK"))))</f>
        <v/>
      </c>
    </row>
    <row r="44">
      <c r="A44" s="7">
        <f>IF(Roster!A43="","",Roster!A43)</f>
        <v/>
      </c>
      <c r="B44" s="8">
        <f>IF(Roster!B43="","",Roster!B43)</f>
        <v/>
      </c>
      <c r="C44" s="8">
        <f>IF(Roster!C43="","",Roster!C43)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13">
        <f>IF(A44="","",COUNTA(D44:L44))</f>
        <v/>
      </c>
      <c r="S44" s="13">
        <f>IF(A44="","",COUNTA(M44:Q44))</f>
        <v/>
      </c>
      <c r="T44" s="13">
        <f>IF(A44="","",R44+S44)</f>
        <v/>
      </c>
      <c r="U44" s="13">
        <f>IF(A44="","",IF(T44=0,"",IF(T44&gt;4,"❌ Over 4 events",IF(AND(T44=4,NOT(OR(AND(R44=3,S44=1),AND(R44=1,S44=3)))),"⚠ Must be 3+1 or 1+3","✓ OK"))))</f>
        <v/>
      </c>
    </row>
    <row r="45">
      <c r="A45" s="7">
        <f>IF(Roster!A44="","",Roster!A44)</f>
        <v/>
      </c>
      <c r="B45" s="8">
        <f>IF(Roster!B44="","",Roster!B44)</f>
        <v/>
      </c>
      <c r="C45" s="8">
        <f>IF(Roster!C44="","",Roster!C44)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13">
        <f>IF(A45="","",COUNTA(D45:L45))</f>
        <v/>
      </c>
      <c r="S45" s="13">
        <f>IF(A45="","",COUNTA(M45:Q45))</f>
        <v/>
      </c>
      <c r="T45" s="13">
        <f>IF(A45="","",R45+S45)</f>
        <v/>
      </c>
      <c r="U45" s="13">
        <f>IF(A45="","",IF(T45=0,"",IF(T45&gt;4,"❌ Over 4 events",IF(AND(T45=4,NOT(OR(AND(R45=3,S45=1),AND(R45=1,S45=3)))),"⚠ Must be 3+1 or 1+3","✓ OK"))))</f>
        <v/>
      </c>
    </row>
    <row r="46">
      <c r="A46" s="7">
        <f>IF(Roster!A45="","",Roster!A45)</f>
        <v/>
      </c>
      <c r="B46" s="8">
        <f>IF(Roster!B45="","",Roster!B45)</f>
        <v/>
      </c>
      <c r="C46" s="8">
        <f>IF(Roster!C45="","",Roster!C45)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13">
        <f>IF(A46="","",COUNTA(D46:L46))</f>
        <v/>
      </c>
      <c r="S46" s="13">
        <f>IF(A46="","",COUNTA(M46:Q46))</f>
        <v/>
      </c>
      <c r="T46" s="13">
        <f>IF(A46="","",R46+S46)</f>
        <v/>
      </c>
      <c r="U46" s="13">
        <f>IF(A46="","",IF(T46=0,"",IF(T46&gt;4,"❌ Over 4 events",IF(AND(T46=4,NOT(OR(AND(R46=3,S46=1),AND(R46=1,S46=3)))),"⚠ Must be 3+1 or 1+3","✓ OK"))))</f>
        <v/>
      </c>
    </row>
    <row r="47">
      <c r="A47" s="7">
        <f>IF(Roster!A46="","",Roster!A46)</f>
        <v/>
      </c>
      <c r="B47" s="8">
        <f>IF(Roster!B46="","",Roster!B46)</f>
        <v/>
      </c>
      <c r="C47" s="8">
        <f>IF(Roster!C46="","",Roster!C46)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13">
        <f>IF(A47="","",COUNTA(D47:L47))</f>
        <v/>
      </c>
      <c r="S47" s="13">
        <f>IF(A47="","",COUNTA(M47:Q47))</f>
        <v/>
      </c>
      <c r="T47" s="13">
        <f>IF(A47="","",R47+S47)</f>
        <v/>
      </c>
      <c r="U47" s="13">
        <f>IF(A47="","",IF(T47=0,"",IF(T47&gt;4,"❌ Over 4 events",IF(AND(T47=4,NOT(OR(AND(R47=3,S47=1),AND(R47=1,S47=3)))),"⚠ Must be 3+1 or 1+3","✓ OK"))))</f>
        <v/>
      </c>
    </row>
    <row r="48">
      <c r="A48" s="7">
        <f>IF(Roster!A47="","",Roster!A47)</f>
        <v/>
      </c>
      <c r="B48" s="8">
        <f>IF(Roster!B47="","",Roster!B47)</f>
        <v/>
      </c>
      <c r="C48" s="8">
        <f>IF(Roster!C47="","",Roster!C47)</f>
        <v/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13">
        <f>IF(A48="","",COUNTA(D48:L48))</f>
        <v/>
      </c>
      <c r="S48" s="13">
        <f>IF(A48="","",COUNTA(M48:Q48))</f>
        <v/>
      </c>
      <c r="T48" s="13">
        <f>IF(A48="","",R48+S48)</f>
        <v/>
      </c>
      <c r="U48" s="13">
        <f>IF(A48="","",IF(T48=0,"",IF(T48&gt;4,"❌ Over 4 events",IF(AND(T48=4,NOT(OR(AND(R48=3,S48=1),AND(R48=1,S48=3)))),"⚠ Must be 3+1 or 1+3","✓ OK"))))</f>
        <v/>
      </c>
    </row>
    <row r="49">
      <c r="A49" s="7">
        <f>IF(Roster!A48="","",Roster!A48)</f>
        <v/>
      </c>
      <c r="B49" s="8">
        <f>IF(Roster!B48="","",Roster!B48)</f>
        <v/>
      </c>
      <c r="C49" s="8">
        <f>IF(Roster!C48="","",Roster!C48)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13">
        <f>IF(A49="","",COUNTA(D49:L49))</f>
        <v/>
      </c>
      <c r="S49" s="13">
        <f>IF(A49="","",COUNTA(M49:Q49))</f>
        <v/>
      </c>
      <c r="T49" s="13">
        <f>IF(A49="","",R49+S49)</f>
        <v/>
      </c>
      <c r="U49" s="13">
        <f>IF(A49="","",IF(T49=0,"",IF(T49&gt;4,"❌ Over 4 events",IF(AND(T49=4,NOT(OR(AND(R49=3,S49=1),AND(R49=1,S49=3)))),"⚠ Must be 3+1 or 1+3","✓ OK"))))</f>
        <v/>
      </c>
    </row>
    <row r="50">
      <c r="A50" s="7">
        <f>IF(Roster!A49="","",Roster!A49)</f>
        <v/>
      </c>
      <c r="B50" s="8">
        <f>IF(Roster!B49="","",Roster!B49)</f>
        <v/>
      </c>
      <c r="C50" s="8">
        <f>IF(Roster!C49="","",Roster!C49)</f>
        <v/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13">
        <f>IF(A50="","",COUNTA(D50:L50))</f>
        <v/>
      </c>
      <c r="S50" s="13">
        <f>IF(A50="","",COUNTA(M50:Q50))</f>
        <v/>
      </c>
      <c r="T50" s="13">
        <f>IF(A50="","",R50+S50)</f>
        <v/>
      </c>
      <c r="U50" s="13">
        <f>IF(A50="","",IF(T50=0,"",IF(T50&gt;4,"❌ Over 4 events",IF(AND(T50=4,NOT(OR(AND(R50=3,S50=1),AND(R50=1,S50=3)))),"⚠ Must be 3+1 or 1+3","✓ OK"))))</f>
        <v/>
      </c>
    </row>
    <row r="51">
      <c r="A51" s="7">
        <f>IF(Roster!A50="","",Roster!A50)</f>
        <v/>
      </c>
      <c r="B51" s="8">
        <f>IF(Roster!B50="","",Roster!B50)</f>
        <v/>
      </c>
      <c r="C51" s="8">
        <f>IF(Roster!C50="","",Roster!C50)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13">
        <f>IF(A51="","",COUNTA(D51:L51))</f>
        <v/>
      </c>
      <c r="S51" s="13">
        <f>IF(A51="","",COUNTA(M51:Q51))</f>
        <v/>
      </c>
      <c r="T51" s="13">
        <f>IF(A51="","",R51+S51)</f>
        <v/>
      </c>
      <c r="U51" s="13">
        <f>IF(A51="","",IF(T51=0,"",IF(T51&gt;4,"❌ Over 4 events",IF(AND(T51=4,NOT(OR(AND(R51=3,S51=1),AND(R51=1,S51=3)))),"⚠ Must be 3+1 or 1+3","✓ OK"))))</f>
        <v/>
      </c>
    </row>
    <row r="52">
      <c r="A52" s="7">
        <f>IF(Roster!A51="","",Roster!A51)</f>
        <v/>
      </c>
      <c r="B52" s="8">
        <f>IF(Roster!B51="","",Roster!B51)</f>
        <v/>
      </c>
      <c r="C52" s="8">
        <f>IF(Roster!C51="","",Roster!C51)</f>
        <v/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13">
        <f>IF(A52="","",COUNTA(D52:L52))</f>
        <v/>
      </c>
      <c r="S52" s="13">
        <f>IF(A52="","",COUNTA(M52:Q52))</f>
        <v/>
      </c>
      <c r="T52" s="13">
        <f>IF(A52="","",R52+S52)</f>
        <v/>
      </c>
      <c r="U52" s="13">
        <f>IF(A52="","",IF(T52=0,"",IF(T52&gt;4,"❌ Over 4 events",IF(AND(T52=4,NOT(OR(AND(R52=3,S52=1),AND(R52=1,S52=3)))),"⚠ Must be 3+1 or 1+3","✓ OK"))))</f>
        <v/>
      </c>
    </row>
  </sheetData>
  <mergeCells count="4">
    <mergeCell ref="A1:U1"/>
    <mergeCell ref="D2:L2"/>
    <mergeCell ref="R2:U2"/>
    <mergeCell ref="M2:Q2"/>
  </mergeCells>
  <conditionalFormatting sqref="T4:T52">
    <cfRule type="cellIs" priority="1" operator="greaterThan" dxfId="0">
      <formula>4</formula>
    </cfRule>
  </conditionalFormatting>
  <conditionalFormatting sqref="U4:U52">
    <cfRule type="expression" priority="2" dxfId="0">
      <formula>ISNUMBER(SEARCH("❌",U4))</formula>
    </cfRule>
    <cfRule type="expression" priority="3" dxfId="1">
      <formula>ISNUMBER(SEARCH("⚠",U4))</formula>
    </cfRule>
    <cfRule type="expression" priority="4" dxfId="2">
      <formula>ISNUMBER(SEARCH("OK",U4))</formula>
    </cfRule>
  </conditionalFormatting>
  <dataValidations count="2">
    <dataValidation sqref="D4:D52 E4:E52 F4:F52 G4:G52 H4:H52 I4:I52 J4:J52 K4:K52 L4:L52" showDropDown="0" showInputMessage="0" showErrorMessage="0" allowBlank="1" errorTitle="Invalid entry" error="Use X for individual events, or A/B/C/D for relay teams." type="list">
      <formula1>"X,A,B,C,D"</formula1>
    </dataValidation>
    <dataValidation sqref="M4:M52 N4:N52 O4:O52 P4:P52 Q4:Q52" showDropDown="0" showInputMessage="0" showErrorMessage="0" allowBlank="1" errorTitle="Invalid entry" error="Use X to enter an athlete in this event." type="list">
      <formula1>"X"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2" customHeight="1">
      <c r="A1" s="5" t="inlineStr">
        <is>
          <t>By Event — auto-populated heat sheet</t>
        </is>
      </c>
    </row>
    <row r="2">
      <c r="A2" s="14" t="inlineStr">
        <is>
          <t>Running events run in order below. Heats within each event: 6/7G → 8G → 6/7B → 8B.</t>
        </is>
      </c>
    </row>
    <row r="4">
      <c r="A4" s="15" t="inlineStr">
        <is>
          <t>RUNNING EVENTS (in conference order)</t>
        </is>
      </c>
    </row>
    <row r="5">
      <c r="A5" s="16" t="inlineStr">
        <is>
          <t>75m Hurdles</t>
        </is>
      </c>
    </row>
    <row r="6">
      <c r="A6" s="17" t="inlineStr">
        <is>
          <t>6/7 Girls</t>
        </is>
      </c>
      <c r="B6" s="18">
        <f>IFERROR(TEXTJOIN(", ",TRUE,FILTER(Signup!$A$4:$A$52,(Signup!$D$4:$D$52="X")*(((Signup!$B$4:$B$52=6)+(Signup!$B$4:$B$52=7))&gt;0)*(Signup!$C$4:$C$52="F"))),"")</f>
        <v/>
      </c>
    </row>
    <row r="7">
      <c r="A7" s="17" t="inlineStr">
        <is>
          <t>8 Girls</t>
        </is>
      </c>
      <c r="B7" s="18">
        <f>IFERROR(TEXTJOIN(", ",TRUE,FILTER(Signup!$A$4:$A$52,(Signup!$D$4:$D$52="X")*(Signup!$B$4:$B$52=8)*(Signup!$C$4:$C$52="F"))),"")</f>
        <v/>
      </c>
    </row>
    <row r="8">
      <c r="A8" s="17" t="inlineStr">
        <is>
          <t>6/7 Boys</t>
        </is>
      </c>
      <c r="B8" s="18">
        <f>IFERROR(TEXTJOIN(", ",TRUE,FILTER(Signup!$A$4:$A$52,(Signup!$D$4:$D$52="X")*(((Signup!$B$4:$B$52=6)+(Signup!$B$4:$B$52=7))&gt;0)*(Signup!$C$4:$C$52="M"))),"")</f>
        <v/>
      </c>
    </row>
    <row r="9">
      <c r="A9" s="17" t="inlineStr">
        <is>
          <t>8 Boys</t>
        </is>
      </c>
      <c r="B9" s="18">
        <f>IFERROR(TEXTJOIN(", ",TRUE,FILTER(Signup!$A$4:$A$52,(Signup!$D$4:$D$52="X")*(Signup!$B$4:$B$52=8)*(Signup!$C$4:$C$52="M"))),"")</f>
        <v/>
      </c>
    </row>
    <row r="11">
      <c r="A11" s="16" t="inlineStr">
        <is>
          <t>100m Dash</t>
        </is>
      </c>
    </row>
    <row r="12">
      <c r="A12" s="17" t="inlineStr">
        <is>
          <t>6/7 Girls</t>
        </is>
      </c>
      <c r="B12" s="18">
        <f>IFERROR(TEXTJOIN(", ",TRUE,FILTER(Signup!$A$4:$A$52,(Signup!$E$4:$E$52="X")*(((Signup!$B$4:$B$52=6)+(Signup!$B$4:$B$52=7))&gt;0)*(Signup!$C$4:$C$52="F"))),"")</f>
        <v/>
      </c>
    </row>
    <row r="13">
      <c r="A13" s="17" t="inlineStr">
        <is>
          <t>8 Girls</t>
        </is>
      </c>
      <c r="B13" s="18">
        <f>IFERROR(TEXTJOIN(", ",TRUE,FILTER(Signup!$A$4:$A$52,(Signup!$E$4:$E$52="X")*(Signup!$B$4:$B$52=8)*(Signup!$C$4:$C$52="F"))),"")</f>
        <v/>
      </c>
    </row>
    <row r="14">
      <c r="A14" s="17" t="inlineStr">
        <is>
          <t>6/7 Boys</t>
        </is>
      </c>
      <c r="B14" s="18">
        <f>IFERROR(TEXTJOIN(", ",TRUE,FILTER(Signup!$A$4:$A$52,(Signup!$E$4:$E$52="X")*(((Signup!$B$4:$B$52=6)+(Signup!$B$4:$B$52=7))&gt;0)*(Signup!$C$4:$C$52="M"))),"")</f>
        <v/>
      </c>
    </row>
    <row r="15">
      <c r="A15" s="17" t="inlineStr">
        <is>
          <t>8 Boys</t>
        </is>
      </c>
      <c r="B15" s="18">
        <f>IFERROR(TEXTJOIN(", ",TRUE,FILTER(Signup!$A$4:$A$52,(Signup!$E$4:$E$52="X")*(Signup!$B$4:$B$52=8)*(Signup!$C$4:$C$52="M"))),"")</f>
        <v/>
      </c>
    </row>
    <row r="17">
      <c r="A17" s="16" t="inlineStr">
        <is>
          <t>4x200m Relay</t>
        </is>
      </c>
    </row>
    <row r="18">
      <c r="A18" s="17" t="inlineStr">
        <is>
          <t>Team A</t>
        </is>
      </c>
      <c r="B18" s="18">
        <f>IFERROR(TEXTJOIN(", ",TRUE,FILTER(Signup!$A$4:$A$52,Signup!$F$4:$F$52="A")),"")</f>
        <v/>
      </c>
    </row>
    <row r="19">
      <c r="A19" s="17" t="inlineStr">
        <is>
          <t>Team B</t>
        </is>
      </c>
      <c r="B19" s="18">
        <f>IFERROR(TEXTJOIN(", ",TRUE,FILTER(Signup!$A$4:$A$52,Signup!$F$4:$F$52="B")),"")</f>
        <v/>
      </c>
    </row>
    <row r="20">
      <c r="A20" s="17" t="inlineStr">
        <is>
          <t>Team C</t>
        </is>
      </c>
      <c r="B20" s="18">
        <f>IFERROR(TEXTJOIN(", ",TRUE,FILTER(Signup!$A$4:$A$52,Signup!$F$4:$F$52="C")),"")</f>
        <v/>
      </c>
    </row>
    <row r="21">
      <c r="A21" s="17" t="inlineStr">
        <is>
          <t>Team D</t>
        </is>
      </c>
      <c r="B21" s="18">
        <f>IFERROR(TEXTJOIN(", ",TRUE,FILTER(Signup!$A$4:$A$52,Signup!$F$4:$F$52="D")),"")</f>
        <v/>
      </c>
    </row>
    <row r="23">
      <c r="A23" s="16" t="inlineStr">
        <is>
          <t>1600m Run</t>
        </is>
      </c>
    </row>
    <row r="24">
      <c r="A24" s="17" t="inlineStr">
        <is>
          <t>6/7 Girls</t>
        </is>
      </c>
      <c r="B24" s="18">
        <f>IFERROR(TEXTJOIN(", ",TRUE,FILTER(Signup!$A$4:$A$52,(Signup!$G$4:$G$52="X")*(((Signup!$B$4:$B$52=6)+(Signup!$B$4:$B$52=7))&gt;0)*(Signup!$C$4:$C$52="F"))),"")</f>
        <v/>
      </c>
    </row>
    <row r="25">
      <c r="A25" s="17" t="inlineStr">
        <is>
          <t>8 Girls</t>
        </is>
      </c>
      <c r="B25" s="18">
        <f>IFERROR(TEXTJOIN(", ",TRUE,FILTER(Signup!$A$4:$A$52,(Signup!$G$4:$G$52="X")*(Signup!$B$4:$B$52=8)*(Signup!$C$4:$C$52="F"))),"")</f>
        <v/>
      </c>
    </row>
    <row r="26">
      <c r="A26" s="17" t="inlineStr">
        <is>
          <t>6/7 Boys</t>
        </is>
      </c>
      <c r="B26" s="18">
        <f>IFERROR(TEXTJOIN(", ",TRUE,FILTER(Signup!$A$4:$A$52,(Signup!$G$4:$G$52="X")*(((Signup!$B$4:$B$52=6)+(Signup!$B$4:$B$52=7))&gt;0)*(Signup!$C$4:$C$52="M"))),"")</f>
        <v/>
      </c>
    </row>
    <row r="27">
      <c r="A27" s="17" t="inlineStr">
        <is>
          <t>8 Boys</t>
        </is>
      </c>
      <c r="B27" s="18">
        <f>IFERROR(TEXTJOIN(", ",TRUE,FILTER(Signup!$A$4:$A$52,(Signup!$G$4:$G$52="X")*(Signup!$B$4:$B$52=8)*(Signup!$C$4:$C$52="M"))),"")</f>
        <v/>
      </c>
    </row>
    <row r="29">
      <c r="A29" s="16" t="inlineStr">
        <is>
          <t>4x100m Relay</t>
        </is>
      </c>
    </row>
    <row r="30">
      <c r="A30" s="17" t="inlineStr">
        <is>
          <t>Team A</t>
        </is>
      </c>
      <c r="B30" s="18">
        <f>IFERROR(TEXTJOIN(", ",TRUE,FILTER(Signup!$A$4:$A$52,Signup!$H$4:$H$52="A")),"")</f>
        <v/>
      </c>
    </row>
    <row r="31">
      <c r="A31" s="17" t="inlineStr">
        <is>
          <t>Team B</t>
        </is>
      </c>
      <c r="B31" s="18">
        <f>IFERROR(TEXTJOIN(", ",TRUE,FILTER(Signup!$A$4:$A$52,Signup!$H$4:$H$52="B")),"")</f>
        <v/>
      </c>
    </row>
    <row r="32">
      <c r="A32" s="17" t="inlineStr">
        <is>
          <t>Team C</t>
        </is>
      </c>
      <c r="B32" s="18">
        <f>IFERROR(TEXTJOIN(", ",TRUE,FILTER(Signup!$A$4:$A$52,Signup!$H$4:$H$52="C")),"")</f>
        <v/>
      </c>
    </row>
    <row r="33">
      <c r="A33" s="17" t="inlineStr">
        <is>
          <t>Team D</t>
        </is>
      </c>
      <c r="B33" s="18">
        <f>IFERROR(TEXTJOIN(", ",TRUE,FILTER(Signup!$A$4:$A$52,Signup!$H$4:$H$52="D")),"")</f>
        <v/>
      </c>
    </row>
    <row r="35">
      <c r="A35" s="16" t="inlineStr">
        <is>
          <t>400m Dash</t>
        </is>
      </c>
    </row>
    <row r="36">
      <c r="A36" s="17" t="inlineStr">
        <is>
          <t>6/7 Girls</t>
        </is>
      </c>
      <c r="B36" s="18">
        <f>IFERROR(TEXTJOIN(", ",TRUE,FILTER(Signup!$A$4:$A$52,(Signup!$I$4:$I$52="X")*(((Signup!$B$4:$B$52=6)+(Signup!$B$4:$B$52=7))&gt;0)*(Signup!$C$4:$C$52="F"))),"")</f>
        <v/>
      </c>
    </row>
    <row r="37">
      <c r="A37" s="17" t="inlineStr">
        <is>
          <t>8 Girls</t>
        </is>
      </c>
      <c r="B37" s="18">
        <f>IFERROR(TEXTJOIN(", ",TRUE,FILTER(Signup!$A$4:$A$52,(Signup!$I$4:$I$52="X")*(Signup!$B$4:$B$52=8)*(Signup!$C$4:$C$52="F"))),"")</f>
        <v/>
      </c>
    </row>
    <row r="38">
      <c r="A38" s="17" t="inlineStr">
        <is>
          <t>6/7 Boys</t>
        </is>
      </c>
      <c r="B38" s="18">
        <f>IFERROR(TEXTJOIN(", ",TRUE,FILTER(Signup!$A$4:$A$52,(Signup!$I$4:$I$52="X")*(((Signup!$B$4:$B$52=6)+(Signup!$B$4:$B$52=7))&gt;0)*(Signup!$C$4:$C$52="M"))),"")</f>
        <v/>
      </c>
    </row>
    <row r="39">
      <c r="A39" s="17" t="inlineStr">
        <is>
          <t>8 Boys</t>
        </is>
      </c>
      <c r="B39" s="18">
        <f>IFERROR(TEXTJOIN(", ",TRUE,FILTER(Signup!$A$4:$A$52,(Signup!$I$4:$I$52="X")*(Signup!$B$4:$B$52=8)*(Signup!$C$4:$C$52="M"))),"")</f>
        <v/>
      </c>
    </row>
    <row r="41">
      <c r="A41" s="16" t="inlineStr">
        <is>
          <t>800m Run</t>
        </is>
      </c>
    </row>
    <row r="42">
      <c r="A42" s="17" t="inlineStr">
        <is>
          <t>6/7 Girls</t>
        </is>
      </c>
      <c r="B42" s="18">
        <f>IFERROR(TEXTJOIN(", ",TRUE,FILTER(Signup!$A$4:$A$52,(Signup!$J$4:$J$52="X")*(((Signup!$B$4:$B$52=6)+(Signup!$B$4:$B$52=7))&gt;0)*(Signup!$C$4:$C$52="F"))),"")</f>
        <v/>
      </c>
    </row>
    <row r="43">
      <c r="A43" s="17" t="inlineStr">
        <is>
          <t>8 Girls</t>
        </is>
      </c>
      <c r="B43" s="18">
        <f>IFERROR(TEXTJOIN(", ",TRUE,FILTER(Signup!$A$4:$A$52,(Signup!$J$4:$J$52="X")*(Signup!$B$4:$B$52=8)*(Signup!$C$4:$C$52="F"))),"")</f>
        <v/>
      </c>
    </row>
    <row r="44">
      <c r="A44" s="17" t="inlineStr">
        <is>
          <t>6/7 Boys</t>
        </is>
      </c>
      <c r="B44" s="18">
        <f>IFERROR(TEXTJOIN(", ",TRUE,FILTER(Signup!$A$4:$A$52,(Signup!$J$4:$J$52="X")*(((Signup!$B$4:$B$52=6)+(Signup!$B$4:$B$52=7))&gt;0)*(Signup!$C$4:$C$52="M"))),"")</f>
        <v/>
      </c>
    </row>
    <row r="45">
      <c r="A45" s="17" t="inlineStr">
        <is>
          <t>8 Boys</t>
        </is>
      </c>
      <c r="B45" s="18">
        <f>IFERROR(TEXTJOIN(", ",TRUE,FILTER(Signup!$A$4:$A$52,(Signup!$J$4:$J$52="X")*(Signup!$B$4:$B$52=8)*(Signup!$C$4:$C$52="M"))),"")</f>
        <v/>
      </c>
    </row>
    <row r="47">
      <c r="A47" s="16" t="inlineStr">
        <is>
          <t>200m Dash</t>
        </is>
      </c>
    </row>
    <row r="48">
      <c r="A48" s="17" t="inlineStr">
        <is>
          <t>6/7 Girls</t>
        </is>
      </c>
      <c r="B48" s="18">
        <f>IFERROR(TEXTJOIN(", ",TRUE,FILTER(Signup!$A$4:$A$52,(Signup!$K$4:$K$52="X")*(((Signup!$B$4:$B$52=6)+(Signup!$B$4:$B$52=7))&gt;0)*(Signup!$C$4:$C$52="F"))),"")</f>
        <v/>
      </c>
    </row>
    <row r="49">
      <c r="A49" s="17" t="inlineStr">
        <is>
          <t>8 Girls</t>
        </is>
      </c>
      <c r="B49" s="18">
        <f>IFERROR(TEXTJOIN(", ",TRUE,FILTER(Signup!$A$4:$A$52,(Signup!$K$4:$K$52="X")*(Signup!$B$4:$B$52=8)*(Signup!$C$4:$C$52="F"))),"")</f>
        <v/>
      </c>
    </row>
    <row r="50">
      <c r="A50" s="17" t="inlineStr">
        <is>
          <t>6/7 Boys</t>
        </is>
      </c>
      <c r="B50" s="18">
        <f>IFERROR(TEXTJOIN(", ",TRUE,FILTER(Signup!$A$4:$A$52,(Signup!$K$4:$K$52="X")*(((Signup!$B$4:$B$52=6)+(Signup!$B$4:$B$52=7))&gt;0)*(Signup!$C$4:$C$52="M"))),"")</f>
        <v/>
      </c>
    </row>
    <row r="51">
      <c r="A51" s="17" t="inlineStr">
        <is>
          <t>8 Boys</t>
        </is>
      </c>
      <c r="B51" s="18">
        <f>IFERROR(TEXTJOIN(", ",TRUE,FILTER(Signup!$A$4:$A$52,(Signup!$K$4:$K$52="X")*(Signup!$B$4:$B$52=8)*(Signup!$C$4:$C$52="M"))),"")</f>
        <v/>
      </c>
    </row>
    <row r="53">
      <c r="A53" s="16" t="inlineStr">
        <is>
          <t>4x400m Relay</t>
        </is>
      </c>
    </row>
    <row r="54">
      <c r="A54" s="17" t="inlineStr">
        <is>
          <t>Team A</t>
        </is>
      </c>
      <c r="B54" s="18">
        <f>IFERROR(TEXTJOIN(", ",TRUE,FILTER(Signup!$A$4:$A$52,Signup!$L$4:$L$52="A")),"")</f>
        <v/>
      </c>
    </row>
    <row r="55">
      <c r="A55" s="17" t="inlineStr">
        <is>
          <t>Team B</t>
        </is>
      </c>
      <c r="B55" s="18">
        <f>IFERROR(TEXTJOIN(", ",TRUE,FILTER(Signup!$A$4:$A$52,Signup!$L$4:$L$52="B")),"")</f>
        <v/>
      </c>
    </row>
    <row r="56">
      <c r="A56" s="17" t="inlineStr">
        <is>
          <t>Team C</t>
        </is>
      </c>
      <c r="B56" s="18">
        <f>IFERROR(TEXTJOIN(", ",TRUE,FILTER(Signup!$A$4:$A$52,Signup!$L$4:$L$52="C")),"")</f>
        <v/>
      </c>
    </row>
    <row r="57">
      <c r="A57" s="17" t="inlineStr">
        <is>
          <t>Team D</t>
        </is>
      </c>
      <c r="B57" s="18">
        <f>IFERROR(TEXTJOIN(", ",TRUE,FILTER(Signup!$A$4:$A$52,Signup!$L$4:$L$52="D")),"")</f>
        <v/>
      </c>
    </row>
    <row r="59">
      <c r="A59" s="15" t="inlineStr">
        <is>
          <t>FIELD EVENTS (concurrent)</t>
        </is>
      </c>
    </row>
    <row r="60">
      <c r="A60" s="19" t="inlineStr">
        <is>
          <t>Shot Put</t>
        </is>
      </c>
    </row>
    <row r="61">
      <c r="A61" s="17" t="inlineStr">
        <is>
          <t>6/7 Girls</t>
        </is>
      </c>
      <c r="B61" s="18">
        <f>IFERROR(TEXTJOIN(", ",TRUE,FILTER(Signup!$A$4:$A$52,(Signup!$M$4:$M$52="X")*(((Signup!$B$4:$B$52=6)+(Signup!$B$4:$B$52=7))&gt;0)*(Signup!$C$4:$C$52="F"))),"")</f>
        <v/>
      </c>
    </row>
    <row r="62">
      <c r="A62" s="17" t="inlineStr">
        <is>
          <t>8 Girls</t>
        </is>
      </c>
      <c r="B62" s="18">
        <f>IFERROR(TEXTJOIN(", ",TRUE,FILTER(Signup!$A$4:$A$52,(Signup!$M$4:$M$52="X")*(Signup!$B$4:$B$52=8)*(Signup!$C$4:$C$52="F"))),"")</f>
        <v/>
      </c>
    </row>
    <row r="63">
      <c r="A63" s="17" t="inlineStr">
        <is>
          <t>6/7 Boys</t>
        </is>
      </c>
      <c r="B63" s="18">
        <f>IFERROR(TEXTJOIN(", ",TRUE,FILTER(Signup!$A$4:$A$52,(Signup!$M$4:$M$52="X")*(((Signup!$B$4:$B$52=6)+(Signup!$B$4:$B$52=7))&gt;0)*(Signup!$C$4:$C$52="M"))),"")</f>
        <v/>
      </c>
    </row>
    <row r="64">
      <c r="A64" s="17" t="inlineStr">
        <is>
          <t>8 Boys</t>
        </is>
      </c>
      <c r="B64" s="18">
        <f>IFERROR(TEXTJOIN(", ",TRUE,FILTER(Signup!$A$4:$A$52,(Signup!$M$4:$M$52="X")*(Signup!$B$4:$B$52=8)*(Signup!$C$4:$C$52="M"))),"")</f>
        <v/>
      </c>
    </row>
    <row r="66">
      <c r="A66" s="19" t="inlineStr">
        <is>
          <t>Discus</t>
        </is>
      </c>
    </row>
    <row r="67">
      <c r="A67" s="17" t="inlineStr">
        <is>
          <t>6/7 Girls</t>
        </is>
      </c>
      <c r="B67" s="18">
        <f>IFERROR(TEXTJOIN(", ",TRUE,FILTER(Signup!$A$4:$A$52,(Signup!$N$4:$N$52="X")*(((Signup!$B$4:$B$52=6)+(Signup!$B$4:$B$52=7))&gt;0)*(Signup!$C$4:$C$52="F"))),"")</f>
        <v/>
      </c>
    </row>
    <row r="68">
      <c r="A68" s="17" t="inlineStr">
        <is>
          <t>8 Girls</t>
        </is>
      </c>
      <c r="B68" s="18">
        <f>IFERROR(TEXTJOIN(", ",TRUE,FILTER(Signup!$A$4:$A$52,(Signup!$N$4:$N$52="X")*(Signup!$B$4:$B$52=8)*(Signup!$C$4:$C$52="F"))),"")</f>
        <v/>
      </c>
    </row>
    <row r="69">
      <c r="A69" s="17" t="inlineStr">
        <is>
          <t>6/7 Boys</t>
        </is>
      </c>
      <c r="B69" s="18">
        <f>IFERROR(TEXTJOIN(", ",TRUE,FILTER(Signup!$A$4:$A$52,(Signup!$N$4:$N$52="X")*(((Signup!$B$4:$B$52=6)+(Signup!$B$4:$B$52=7))&gt;0)*(Signup!$C$4:$C$52="M"))),"")</f>
        <v/>
      </c>
    </row>
    <row r="70">
      <c r="A70" s="17" t="inlineStr">
        <is>
          <t>8 Boys</t>
        </is>
      </c>
      <c r="B70" s="18">
        <f>IFERROR(TEXTJOIN(", ",TRUE,FILTER(Signup!$A$4:$A$52,(Signup!$N$4:$N$52="X")*(Signup!$B$4:$B$52=8)*(Signup!$C$4:$C$52="M"))),"")</f>
        <v/>
      </c>
    </row>
    <row r="72">
      <c r="A72" s="19" t="inlineStr">
        <is>
          <t>Long Jump</t>
        </is>
      </c>
    </row>
    <row r="73">
      <c r="A73" s="17" t="inlineStr">
        <is>
          <t>6/7 Girls</t>
        </is>
      </c>
      <c r="B73" s="18">
        <f>IFERROR(TEXTJOIN(", ",TRUE,FILTER(Signup!$A$4:$A$52,(Signup!$O$4:$O$52="X")*(((Signup!$B$4:$B$52=6)+(Signup!$B$4:$B$52=7))&gt;0)*(Signup!$C$4:$C$52="F"))),"")</f>
        <v/>
      </c>
    </row>
    <row r="74">
      <c r="A74" s="17" t="inlineStr">
        <is>
          <t>8 Girls</t>
        </is>
      </c>
      <c r="B74" s="18">
        <f>IFERROR(TEXTJOIN(", ",TRUE,FILTER(Signup!$A$4:$A$52,(Signup!$O$4:$O$52="X")*(Signup!$B$4:$B$52=8)*(Signup!$C$4:$C$52="F"))),"")</f>
        <v/>
      </c>
    </row>
    <row r="75">
      <c r="A75" s="17" t="inlineStr">
        <is>
          <t>6/7 Boys</t>
        </is>
      </c>
      <c r="B75" s="18">
        <f>IFERROR(TEXTJOIN(", ",TRUE,FILTER(Signup!$A$4:$A$52,(Signup!$O$4:$O$52="X")*(((Signup!$B$4:$B$52=6)+(Signup!$B$4:$B$52=7))&gt;0)*(Signup!$C$4:$C$52="M"))),"")</f>
        <v/>
      </c>
    </row>
    <row r="76">
      <c r="A76" s="17" t="inlineStr">
        <is>
          <t>8 Boys</t>
        </is>
      </c>
      <c r="B76" s="18">
        <f>IFERROR(TEXTJOIN(", ",TRUE,FILTER(Signup!$A$4:$A$52,(Signup!$O$4:$O$52="X")*(Signup!$B$4:$B$52=8)*(Signup!$C$4:$C$52="M"))),"")</f>
        <v/>
      </c>
    </row>
    <row r="78">
      <c r="A78" s="19" t="inlineStr">
        <is>
          <t>Triple Jump</t>
        </is>
      </c>
    </row>
    <row r="79">
      <c r="A79" s="17" t="inlineStr">
        <is>
          <t>6/7 Girls</t>
        </is>
      </c>
      <c r="B79" s="18">
        <f>IFERROR(TEXTJOIN(", ",TRUE,FILTER(Signup!$A$4:$A$52,(Signup!$P$4:$P$52="X")*(((Signup!$B$4:$B$52=6)+(Signup!$B$4:$B$52=7))&gt;0)*(Signup!$C$4:$C$52="F"))),"")</f>
        <v/>
      </c>
    </row>
    <row r="80">
      <c r="A80" s="17" t="inlineStr">
        <is>
          <t>8 Girls</t>
        </is>
      </c>
      <c r="B80" s="18">
        <f>IFERROR(TEXTJOIN(", ",TRUE,FILTER(Signup!$A$4:$A$52,(Signup!$P$4:$P$52="X")*(Signup!$B$4:$B$52=8)*(Signup!$C$4:$C$52="F"))),"")</f>
        <v/>
      </c>
    </row>
    <row r="81">
      <c r="A81" s="17" t="inlineStr">
        <is>
          <t>6/7 Boys</t>
        </is>
      </c>
      <c r="B81" s="18">
        <f>IFERROR(TEXTJOIN(", ",TRUE,FILTER(Signup!$A$4:$A$52,(Signup!$P$4:$P$52="X")*(((Signup!$B$4:$B$52=6)+(Signup!$B$4:$B$52=7))&gt;0)*(Signup!$C$4:$C$52="M"))),"")</f>
        <v/>
      </c>
    </row>
    <row r="82">
      <c r="A82" s="17" t="inlineStr">
        <is>
          <t>8 Boys</t>
        </is>
      </c>
      <c r="B82" s="18">
        <f>IFERROR(TEXTJOIN(", ",TRUE,FILTER(Signup!$A$4:$A$52,(Signup!$P$4:$P$52="X")*(Signup!$B$4:$B$52=8)*(Signup!$C$4:$C$52="M"))),"")</f>
        <v/>
      </c>
    </row>
    <row r="84">
      <c r="A84" s="19" t="inlineStr">
        <is>
          <t>High Jump</t>
        </is>
      </c>
    </row>
    <row r="85">
      <c r="A85" s="17" t="inlineStr">
        <is>
          <t>6/7 Girls</t>
        </is>
      </c>
      <c r="B85" s="18">
        <f>IFERROR(TEXTJOIN(", ",TRUE,FILTER(Signup!$A$4:$A$52,(Signup!$Q$4:$Q$52="X")*(((Signup!$B$4:$B$52=6)+(Signup!$B$4:$B$52=7))&gt;0)*(Signup!$C$4:$C$52="F"))),"")</f>
        <v/>
      </c>
    </row>
    <row r="86">
      <c r="A86" s="17" t="inlineStr">
        <is>
          <t>8 Girls</t>
        </is>
      </c>
      <c r="B86" s="18">
        <f>IFERROR(TEXTJOIN(", ",TRUE,FILTER(Signup!$A$4:$A$52,(Signup!$Q$4:$Q$52="X")*(Signup!$B$4:$B$52=8)*(Signup!$C$4:$C$52="F"))),"")</f>
        <v/>
      </c>
    </row>
    <row r="87">
      <c r="A87" s="17" t="inlineStr">
        <is>
          <t>6/7 Boys</t>
        </is>
      </c>
      <c r="B87" s="18">
        <f>IFERROR(TEXTJOIN(", ",TRUE,FILTER(Signup!$A$4:$A$52,(Signup!$Q$4:$Q$52="X")*(((Signup!$B$4:$B$52=6)+(Signup!$B$4:$B$52=7))&gt;0)*(Signup!$C$4:$C$52="M"))),"")</f>
        <v/>
      </c>
    </row>
    <row r="88">
      <c r="A88" s="17" t="inlineStr">
        <is>
          <t>8 Boys</t>
        </is>
      </c>
      <c r="B88" s="18">
        <f>IFERROR(TEXTJOIN(", ",TRUE,FILTER(Signup!$A$4:$A$52,(Signup!$Q$4:$Q$52="X")*(Signup!$B$4:$B$52=8)*(Signup!$C$4:$C$52="M"))),"")</f>
        <v/>
      </c>
    </row>
  </sheetData>
  <mergeCells count="18">
    <mergeCell ref="A4:B4"/>
    <mergeCell ref="A78:B78"/>
    <mergeCell ref="A2:B2"/>
    <mergeCell ref="A72:B72"/>
    <mergeCell ref="A29:B29"/>
    <mergeCell ref="A59:B59"/>
    <mergeCell ref="A60:B60"/>
    <mergeCell ref="A41:B41"/>
    <mergeCell ref="A11:B11"/>
    <mergeCell ref="A23:B23"/>
    <mergeCell ref="A5:B5"/>
    <mergeCell ref="A47:B47"/>
    <mergeCell ref="A84:B84"/>
    <mergeCell ref="A66:B66"/>
    <mergeCell ref="A1:B1"/>
    <mergeCell ref="A17:B17"/>
    <mergeCell ref="A53:B53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2026-04-21T17:53:13Z</dcterms:created>
  <dcterms:modified xsi:type="dcterms:W3CDTF">2026-04-21T17:53:13Z</dcterms:modified>
</cp:coreProperties>
</file>