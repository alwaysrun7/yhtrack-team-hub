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Instructions" sheetId="1" state="visible" r:id="rId1"/>
    <sheet name="Roster" sheetId="2" state="visible" r:id="rId2"/>
    <sheet name="Sign-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4"/>
    </font>
    <font>
      <sz val="11"/>
    </font>
    <font>
      <b val="1"/>
      <sz val="11"/>
    </font>
    <font>
      <sz val="10"/>
    </font>
    <font>
      <i val="1"/>
      <color rgb="00666666"/>
      <sz val="10"/>
    </font>
    <font>
      <b val="1"/>
      <sz val="10"/>
    </font>
    <font>
      <b val="1"/>
      <color rgb="00FFFFFF"/>
      <sz val="11"/>
    </font>
    <font>
      <b val="1"/>
    </font>
    <font>
      <b val="1"/>
      <color rgb="002E7D32"/>
    </font>
    <font>
      <b val="1"/>
      <color rgb="00C62828"/>
    </font>
    <font>
      <b val="1"/>
      <color rgb="00888888"/>
    </font>
  </fonts>
  <fills count="5">
    <fill>
      <patternFill/>
    </fill>
    <fill>
      <patternFill patternType="gray125"/>
    </fill>
    <fill>
      <patternFill patternType="solid">
        <fgColor rgb="00790E1D"/>
      </patternFill>
    </fill>
    <fill>
      <patternFill patternType="solid">
        <fgColor rgb="00FFF3B0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i val="1"/>
        <color rgb="00888888"/>
      </font>
      <fill>
        <patternFill patternType="solid">
          <fgColor rgb="00E0E0E0"/>
        </patternFill>
      </fill>
    </dxf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C62828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1" t="inlineStr">
        <is>
          <t>Yinghua Track — Parent Meet Attendance</t>
        </is>
      </c>
    </row>
    <row r="2">
      <c r="A2" s="2" t="inlineStr"/>
    </row>
    <row r="3">
      <c r="A3" s="3" t="inlineStr">
        <is>
          <t>Hi parents! Please mark whether your child will attend each upcoming meet.</t>
        </is>
      </c>
    </row>
    <row r="4">
      <c r="A4" s="2" t="inlineStr"/>
    </row>
    <row r="5">
      <c r="A5" s="4" t="inlineStr">
        <is>
          <t>How to use:</t>
        </is>
      </c>
    </row>
    <row r="6">
      <c r="A6" s="5" t="inlineStr">
        <is>
          <t xml:space="preserve">  1. Go to the SIGN-UP tab.</t>
        </is>
      </c>
    </row>
    <row r="7">
      <c r="A7" s="5" t="inlineStr">
        <is>
          <t xml:space="preserve">  2. Find your child's row (sorted alphabetically by last name).</t>
        </is>
      </c>
    </row>
    <row r="8">
      <c r="A8" s="5" t="inlineStr">
        <is>
          <t xml:space="preserve">  3. For each meet column, choose Yes or No from the dropdown.</t>
        </is>
      </c>
    </row>
    <row r="9">
      <c r="A9" s="5" t="inlineStr">
        <is>
          <t xml:space="preserve">  4. Optional: leave a quick note in the Comments column (e.g. arriving late, leaving early).</t>
        </is>
      </c>
    </row>
    <row r="10">
      <c r="A10" s="2" t="inlineStr"/>
    </row>
    <row r="11">
      <c r="A11" s="4" t="inlineStr">
        <is>
          <t>Notes:</t>
        </is>
      </c>
    </row>
    <row r="12">
      <c r="A12" s="5" t="inlineStr">
        <is>
          <t xml:space="preserve">  • Two meets are middle-school only. 5th-graders' cells for those meets are grayed out — please skip them.</t>
        </is>
      </c>
    </row>
    <row r="13">
      <c r="A13" s="5" t="inlineStr">
        <is>
          <t xml:space="preserve">  • Coaches use the Yes/No counts at the bottom to plan transportation, heat sheets, and parent volunteers.</t>
        </is>
      </c>
    </row>
    <row r="14">
      <c r="A14" s="5" t="inlineStr">
        <is>
          <t xml:space="preserve">  • If you're unsure, mark Yes — it's easier for us to remove an athlete than to add one last-minute.</t>
        </is>
      </c>
    </row>
    <row r="15">
      <c r="A15" s="2" t="inlineStr"/>
    </row>
    <row r="16">
      <c r="A16" s="4" t="inlineStr">
        <is>
          <t>Meet schedule:</t>
        </is>
      </c>
    </row>
    <row r="17">
      <c r="A17" s="5" t="inlineStr">
        <is>
          <t xml:space="preserve">  • Wed 5/6 (4:15 PM) — Olson MS — Bloomington at Jefferson HS — Grades 6-8</t>
        </is>
      </c>
    </row>
    <row r="18">
      <c r="A18" s="5" t="inlineStr">
        <is>
          <t xml:space="preserve">  • Sat 5/9 (9:00 AM) — St. Paul Central H.S. at St. Paul Central HS — Grades 5-8</t>
        </is>
      </c>
    </row>
    <row r="19">
      <c r="A19" s="5" t="inlineStr">
        <is>
          <t xml:space="preserve">  • Wed 5/13 (4:00 PM) — Prior Lake at Prior Lake HS — Grades 6-8</t>
        </is>
      </c>
    </row>
    <row r="20">
      <c r="A20" s="5" t="inlineStr">
        <is>
          <t xml:space="preserve">  • Fri 5/15 (5:00–8:00 PM) — TCGIS at Concordia Academy — Grades 5-8</t>
        </is>
      </c>
    </row>
    <row r="21">
      <c r="A21" s="2" t="inlineStr"/>
    </row>
    <row r="22">
      <c r="A22" s="6" t="inlineStr">
        <is>
          <t>Questions? Email Coach Drew at drewadding@gmail.com.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8" customWidth="1" min="3" max="3"/>
  </cols>
  <sheetData>
    <row r="1" ht="22" customHeight="1">
      <c r="A1" s="7" t="inlineStr">
        <is>
          <t>Roster — edit here to add/remove athletes</t>
        </is>
      </c>
    </row>
    <row r="2">
      <c r="A2" s="8" t="inlineStr">
        <is>
          <t>Name</t>
        </is>
      </c>
      <c r="B2" s="8" t="inlineStr">
        <is>
          <t>Grade</t>
        </is>
      </c>
      <c r="C2" s="8" t="inlineStr">
        <is>
          <t>Gender</t>
        </is>
      </c>
    </row>
    <row r="3">
      <c r="A3" s="9" t="inlineStr">
        <is>
          <t>Reuben Addington</t>
        </is>
      </c>
      <c r="B3" s="10" t="n">
        <v>6</v>
      </c>
      <c r="C3" s="10" t="inlineStr">
        <is>
          <t>M</t>
        </is>
      </c>
    </row>
    <row r="4">
      <c r="A4" s="9" t="inlineStr">
        <is>
          <t>Cole Beaudry</t>
        </is>
      </c>
      <c r="B4" s="10" t="n">
        <v>7</v>
      </c>
      <c r="C4" s="10" t="inlineStr">
        <is>
          <t>M</t>
        </is>
      </c>
    </row>
    <row r="5">
      <c r="A5" s="9" t="inlineStr">
        <is>
          <t>Keva Bowron</t>
        </is>
      </c>
      <c r="B5" s="10" t="n">
        <v>7</v>
      </c>
      <c r="C5" s="10" t="inlineStr">
        <is>
          <t>F</t>
        </is>
      </c>
    </row>
    <row r="6">
      <c r="A6" s="9" t="inlineStr">
        <is>
          <t>Teagan Bowron</t>
        </is>
      </c>
      <c r="B6" s="10" t="n">
        <v>5</v>
      </c>
      <c r="C6" s="10" t="inlineStr">
        <is>
          <t>F</t>
        </is>
      </c>
    </row>
    <row r="7">
      <c r="A7" s="9" t="inlineStr">
        <is>
          <t>Liam Bursell</t>
        </is>
      </c>
      <c r="B7" s="10" t="n">
        <v>7</v>
      </c>
      <c r="C7" s="10" t="inlineStr">
        <is>
          <t>M</t>
        </is>
      </c>
    </row>
    <row r="8">
      <c r="A8" s="9" t="inlineStr">
        <is>
          <t>Mila Bursell</t>
        </is>
      </c>
      <c r="B8" s="10" t="n">
        <v>7</v>
      </c>
      <c r="C8" s="10" t="inlineStr">
        <is>
          <t>F</t>
        </is>
      </c>
    </row>
    <row r="9">
      <c r="A9" s="9" t="inlineStr">
        <is>
          <t>Grayson Chon</t>
        </is>
      </c>
      <c r="B9" s="10" t="n">
        <v>7</v>
      </c>
      <c r="C9" s="10" t="inlineStr">
        <is>
          <t>M</t>
        </is>
      </c>
    </row>
    <row r="10">
      <c r="A10" s="9" t="inlineStr">
        <is>
          <t>Cooper Coblentz</t>
        </is>
      </c>
      <c r="B10" s="10" t="n">
        <v>8</v>
      </c>
      <c r="C10" s="10" t="inlineStr">
        <is>
          <t>M</t>
        </is>
      </c>
    </row>
    <row r="11">
      <c r="A11" s="9" t="inlineStr">
        <is>
          <t>Hudson Coblentz</t>
        </is>
      </c>
      <c r="B11" s="10" t="n">
        <v>8</v>
      </c>
      <c r="C11" s="10" t="inlineStr">
        <is>
          <t>M</t>
        </is>
      </c>
    </row>
    <row r="12">
      <c r="A12" s="9" t="inlineStr">
        <is>
          <t>Nathan Coblentz</t>
        </is>
      </c>
      <c r="B12" s="10" t="n">
        <v>8</v>
      </c>
      <c r="C12" s="10" t="inlineStr">
        <is>
          <t>M</t>
        </is>
      </c>
    </row>
    <row r="13">
      <c r="A13" s="9" t="inlineStr">
        <is>
          <t>Addis Demere</t>
        </is>
      </c>
      <c r="B13" s="10" t="n">
        <v>8</v>
      </c>
      <c r="C13" s="10" t="inlineStr">
        <is>
          <t>M</t>
        </is>
      </c>
    </row>
    <row r="14">
      <c r="A14" s="9" t="inlineStr">
        <is>
          <t>Amen Demere</t>
        </is>
      </c>
      <c r="B14" s="10" t="n">
        <v>5</v>
      </c>
      <c r="C14" s="10" t="inlineStr">
        <is>
          <t>F</t>
        </is>
      </c>
    </row>
    <row r="15">
      <c r="A15" s="9" t="inlineStr">
        <is>
          <t>Kai Dinger</t>
        </is>
      </c>
      <c r="B15" s="10" t="n">
        <v>7</v>
      </c>
      <c r="C15" s="10" t="inlineStr">
        <is>
          <t>M</t>
        </is>
      </c>
    </row>
    <row r="16">
      <c r="A16" s="9" t="inlineStr">
        <is>
          <t>Alexandra Ebinger</t>
        </is>
      </c>
      <c r="B16" s="10" t="n">
        <v>6</v>
      </c>
      <c r="C16" s="10" t="inlineStr">
        <is>
          <t>F</t>
        </is>
      </c>
    </row>
    <row r="17">
      <c r="A17" s="9" t="inlineStr">
        <is>
          <t>Cora Ebinger</t>
        </is>
      </c>
      <c r="B17" s="10" t="n">
        <v>8</v>
      </c>
      <c r="C17" s="10" t="inlineStr">
        <is>
          <t>F</t>
        </is>
      </c>
    </row>
    <row r="18">
      <c r="A18" s="9" t="inlineStr">
        <is>
          <t>Jace Euphosin</t>
        </is>
      </c>
      <c r="B18" s="10" t="n">
        <v>5</v>
      </c>
      <c r="C18" s="10" t="inlineStr">
        <is>
          <t>M</t>
        </is>
      </c>
    </row>
    <row r="19">
      <c r="A19" s="9" t="inlineStr">
        <is>
          <t>Althea Bortel Fielder</t>
        </is>
      </c>
      <c r="B19" s="10" t="n">
        <v>7</v>
      </c>
      <c r="C19" s="10" t="inlineStr">
        <is>
          <t>F</t>
        </is>
      </c>
    </row>
    <row r="20">
      <c r="A20" s="9" t="inlineStr">
        <is>
          <t>Elyse Folbrecht</t>
        </is>
      </c>
      <c r="B20" s="10" t="n">
        <v>6</v>
      </c>
      <c r="C20" s="10" t="inlineStr">
        <is>
          <t>F</t>
        </is>
      </c>
    </row>
    <row r="21">
      <c r="A21" s="9" t="inlineStr">
        <is>
          <t>Walter Folbrecht</t>
        </is>
      </c>
      <c r="B21" s="10" t="n">
        <v>5</v>
      </c>
      <c r="C21" s="10" t="inlineStr">
        <is>
          <t>M</t>
        </is>
      </c>
    </row>
    <row r="22">
      <c r="A22" s="9" t="inlineStr">
        <is>
          <t>Remy Fortin</t>
        </is>
      </c>
      <c r="B22" s="10" t="n">
        <v>7</v>
      </c>
      <c r="C22" s="10" t="inlineStr">
        <is>
          <t>M</t>
        </is>
      </c>
    </row>
    <row r="23">
      <c r="A23" s="9" t="inlineStr">
        <is>
          <t>Gabriella Gruber</t>
        </is>
      </c>
      <c r="B23" s="10" t="n">
        <v>5</v>
      </c>
      <c r="C23" s="10" t="inlineStr">
        <is>
          <t>F</t>
        </is>
      </c>
    </row>
    <row r="24">
      <c r="A24" s="9" t="inlineStr">
        <is>
          <t>Vienna Haas</t>
        </is>
      </c>
      <c r="B24" s="10" t="n">
        <v>7</v>
      </c>
      <c r="C24" s="10" t="inlineStr">
        <is>
          <t>F</t>
        </is>
      </c>
    </row>
    <row r="25">
      <c r="A25" s="9" t="inlineStr">
        <is>
          <t>Aedan Herman</t>
        </is>
      </c>
      <c r="B25" s="10" t="n">
        <v>8</v>
      </c>
      <c r="C25" s="10" t="inlineStr">
        <is>
          <t>M</t>
        </is>
      </c>
    </row>
    <row r="26">
      <c r="A26" s="9" t="inlineStr">
        <is>
          <t>Louie Herman</t>
        </is>
      </c>
      <c r="B26" s="10" t="n">
        <v>5</v>
      </c>
      <c r="C26" s="10" t="inlineStr">
        <is>
          <t>M</t>
        </is>
      </c>
    </row>
    <row r="27">
      <c r="A27" s="9" t="inlineStr">
        <is>
          <t>Jasper Hill</t>
        </is>
      </c>
      <c r="B27" s="10" t="n">
        <v>5</v>
      </c>
      <c r="C27" s="10" t="inlineStr">
        <is>
          <t>M</t>
        </is>
      </c>
    </row>
    <row r="28">
      <c r="A28" s="9" t="inlineStr">
        <is>
          <t>Ben Hinrichs</t>
        </is>
      </c>
      <c r="B28" s="10" t="n">
        <v>8</v>
      </c>
      <c r="C28" s="10" t="inlineStr">
        <is>
          <t>M</t>
        </is>
      </c>
    </row>
    <row r="29">
      <c r="A29" s="9" t="inlineStr">
        <is>
          <t>Sage Houdek</t>
        </is>
      </c>
      <c r="B29" s="10" t="n">
        <v>8</v>
      </c>
      <c r="C29" s="10" t="inlineStr">
        <is>
          <t>F</t>
        </is>
      </c>
    </row>
    <row r="30">
      <c r="A30" s="9" t="inlineStr">
        <is>
          <t>Ari Klapperich-Khuu</t>
        </is>
      </c>
      <c r="B30" s="10" t="n">
        <v>7</v>
      </c>
      <c r="C30" s="10" t="inlineStr">
        <is>
          <t>M</t>
        </is>
      </c>
    </row>
    <row r="31">
      <c r="A31" s="9" t="inlineStr">
        <is>
          <t>Marcus Kunc</t>
        </is>
      </c>
      <c r="B31" s="10" t="n">
        <v>6</v>
      </c>
      <c r="C31" s="10" t="inlineStr">
        <is>
          <t>M</t>
        </is>
      </c>
    </row>
    <row r="32">
      <c r="A32" s="9" t="inlineStr">
        <is>
          <t>Mattias Kunc</t>
        </is>
      </c>
      <c r="B32" s="10" t="n">
        <v>8</v>
      </c>
      <c r="C32" s="10" t="inlineStr">
        <is>
          <t>M</t>
        </is>
      </c>
    </row>
    <row r="33">
      <c r="A33" s="9" t="inlineStr">
        <is>
          <t>Avinash Landahl</t>
        </is>
      </c>
      <c r="B33" s="10" t="n">
        <v>5</v>
      </c>
      <c r="C33" s="10" t="inlineStr">
        <is>
          <t>M</t>
        </is>
      </c>
    </row>
    <row r="34">
      <c r="A34" s="9" t="inlineStr">
        <is>
          <t>Perrin Light-Haberstroh</t>
        </is>
      </c>
      <c r="B34" s="10" t="n">
        <v>6</v>
      </c>
      <c r="C34" s="10" t="inlineStr">
        <is>
          <t>F</t>
        </is>
      </c>
    </row>
    <row r="35">
      <c r="A35" s="9" t="inlineStr">
        <is>
          <t>Devin Lindquist</t>
        </is>
      </c>
      <c r="B35" s="10" t="n">
        <v>6</v>
      </c>
      <c r="C35" s="10" t="inlineStr">
        <is>
          <t>M</t>
        </is>
      </c>
    </row>
    <row r="36">
      <c r="A36" s="9" t="inlineStr">
        <is>
          <t>Brighton Balk Mmary</t>
        </is>
      </c>
      <c r="B36" s="10" t="n">
        <v>5</v>
      </c>
      <c r="C36" s="10" t="inlineStr">
        <is>
          <t>M</t>
        </is>
      </c>
    </row>
    <row r="37">
      <c r="A37" s="9" t="inlineStr">
        <is>
          <t>Gabriel Nowariak</t>
        </is>
      </c>
      <c r="B37" s="10" t="n">
        <v>6</v>
      </c>
      <c r="C37" s="10" t="inlineStr">
        <is>
          <t>M</t>
        </is>
      </c>
    </row>
    <row r="38">
      <c r="A38" s="9" t="inlineStr">
        <is>
          <t>Annika Peterson</t>
        </is>
      </c>
      <c r="B38" s="10" t="n">
        <v>7</v>
      </c>
      <c r="C38" s="10" t="inlineStr">
        <is>
          <t>F</t>
        </is>
      </c>
    </row>
    <row r="39">
      <c r="A39" s="9" t="inlineStr">
        <is>
          <t>Cailee Pham</t>
        </is>
      </c>
      <c r="B39" s="10" t="n">
        <v>8</v>
      </c>
      <c r="C39" s="10" t="inlineStr">
        <is>
          <t>F</t>
        </is>
      </c>
    </row>
    <row r="40">
      <c r="A40" s="9" t="inlineStr">
        <is>
          <t>Amelia Roddy</t>
        </is>
      </c>
      <c r="B40" s="10" t="n">
        <v>6</v>
      </c>
      <c r="C40" s="10" t="inlineStr">
        <is>
          <t>F</t>
        </is>
      </c>
    </row>
    <row r="41">
      <c r="A41" s="9" t="inlineStr">
        <is>
          <t>Audrey Roffe</t>
        </is>
      </c>
      <c r="B41" s="10" t="n">
        <v>7</v>
      </c>
      <c r="C41" s="10" t="inlineStr">
        <is>
          <t>F</t>
        </is>
      </c>
    </row>
    <row r="42">
      <c r="A42" s="9" t="inlineStr">
        <is>
          <t>Liv Romsaas</t>
        </is>
      </c>
      <c r="B42" s="10" t="n">
        <v>5</v>
      </c>
      <c r="C42" s="10" t="inlineStr">
        <is>
          <t>F</t>
        </is>
      </c>
    </row>
    <row r="43">
      <c r="A43" s="9" t="inlineStr">
        <is>
          <t>Frank Ryan</t>
        </is>
      </c>
      <c r="B43" s="10" t="n">
        <v>5</v>
      </c>
      <c r="C43" s="10" t="inlineStr">
        <is>
          <t>M</t>
        </is>
      </c>
    </row>
    <row r="44">
      <c r="A44" s="9" t="inlineStr">
        <is>
          <t>Louis Ryan</t>
        </is>
      </c>
      <c r="B44" s="10" t="n">
        <v>7</v>
      </c>
      <c r="C44" s="10" t="inlineStr">
        <is>
          <t>M</t>
        </is>
      </c>
    </row>
    <row r="45">
      <c r="A45" s="9" t="inlineStr">
        <is>
          <t>Charlotte Saeger</t>
        </is>
      </c>
      <c r="B45" s="10" t="n">
        <v>5</v>
      </c>
      <c r="C45" s="10" t="inlineStr">
        <is>
          <t>F</t>
        </is>
      </c>
    </row>
    <row r="46">
      <c r="A46" s="9" t="inlineStr">
        <is>
          <t>Arya Sanaka</t>
        </is>
      </c>
      <c r="B46" s="10" t="n">
        <v>7</v>
      </c>
      <c r="C46" s="10" t="inlineStr">
        <is>
          <t>F</t>
        </is>
      </c>
    </row>
    <row r="47">
      <c r="A47" s="9" t="inlineStr">
        <is>
          <t>Leo Shu</t>
        </is>
      </c>
      <c r="B47" s="10" t="n">
        <v>8</v>
      </c>
      <c r="C47" s="10" t="inlineStr">
        <is>
          <t>M</t>
        </is>
      </c>
    </row>
    <row r="48">
      <c r="A48" s="9" t="inlineStr">
        <is>
          <t>Harper Stewart</t>
        </is>
      </c>
      <c r="B48" s="10" t="n">
        <v>5</v>
      </c>
      <c r="C48" s="10" t="inlineStr">
        <is>
          <t>F</t>
        </is>
      </c>
    </row>
    <row r="49">
      <c r="A49" s="9" t="inlineStr">
        <is>
          <t>Ben Surla</t>
        </is>
      </c>
      <c r="B49" s="10" t="n">
        <v>7</v>
      </c>
      <c r="C49" s="10" t="inlineStr">
        <is>
          <t>M</t>
        </is>
      </c>
    </row>
    <row r="50">
      <c r="A50" s="9" t="inlineStr">
        <is>
          <t>Otto Terhark</t>
        </is>
      </c>
      <c r="B50" s="10" t="n">
        <v>5</v>
      </c>
      <c r="C50" s="10" t="inlineStr">
        <is>
          <t>M</t>
        </is>
      </c>
    </row>
    <row r="51">
      <c r="A51" s="9" t="inlineStr">
        <is>
          <t>Jin Trenh</t>
        </is>
      </c>
      <c r="B51" s="10" t="n">
        <v>8</v>
      </c>
      <c r="C51" s="10" t="inlineStr">
        <is>
          <t>M</t>
        </is>
      </c>
    </row>
    <row r="52">
      <c r="A52" s="9" t="inlineStr">
        <is>
          <t>Thea Trenh</t>
        </is>
      </c>
      <c r="B52" s="10" t="n">
        <v>5</v>
      </c>
      <c r="C52" s="10" t="inlineStr">
        <is>
          <t>F</t>
        </is>
      </c>
    </row>
    <row r="53">
      <c r="A53" s="9" t="inlineStr">
        <is>
          <t>Ethan Tschida</t>
        </is>
      </c>
      <c r="B53" s="10" t="n">
        <v>6</v>
      </c>
      <c r="C53" s="10" t="inlineStr">
        <is>
          <t>M</t>
        </is>
      </c>
    </row>
    <row r="54">
      <c r="A54" s="9" t="inlineStr">
        <is>
          <t>Isabel Tschida</t>
        </is>
      </c>
      <c r="B54" s="10" t="n">
        <v>8</v>
      </c>
      <c r="C54" s="10" t="inlineStr">
        <is>
          <t>F</t>
        </is>
      </c>
    </row>
    <row r="55">
      <c r="A55" s="9" t="inlineStr">
        <is>
          <t>Caleb Wilson</t>
        </is>
      </c>
      <c r="B55" s="10" t="n">
        <v>7</v>
      </c>
      <c r="C55" s="10" t="inlineStr">
        <is>
          <t>M</t>
        </is>
      </c>
    </row>
    <row r="56">
      <c r="A56" s="9" t="inlineStr">
        <is>
          <t>Isaac Wilson</t>
        </is>
      </c>
      <c r="B56" s="10" t="n">
        <v>7</v>
      </c>
      <c r="C56" s="10" t="inlineStr">
        <is>
          <t>M</t>
        </is>
      </c>
    </row>
    <row r="57">
      <c r="A57" s="9" t="inlineStr">
        <is>
          <t>Tiancheng Yang</t>
        </is>
      </c>
      <c r="B57" s="10" t="n">
        <v>5</v>
      </c>
      <c r="C57" s="10" t="inlineStr">
        <is>
          <t>M</t>
        </is>
      </c>
    </row>
    <row r="58">
      <c r="A58" s="9" t="inlineStr">
        <is>
          <t>Tianming Yang</t>
        </is>
      </c>
      <c r="B58" s="10" t="n">
        <v>5</v>
      </c>
      <c r="C58" s="10" t="inlineStr">
        <is>
          <t>M</t>
        </is>
      </c>
    </row>
    <row r="59">
      <c r="A59" s="9" t="n"/>
      <c r="B59" s="9" t="n"/>
      <c r="C59" s="9" t="n"/>
    </row>
    <row r="60">
      <c r="A60" s="9" t="n"/>
      <c r="B60" s="9" t="n"/>
      <c r="C60" s="9" t="n"/>
    </row>
    <row r="61">
      <c r="A61" s="9" t="n"/>
      <c r="B61" s="9" t="n"/>
      <c r="C61" s="9" t="n"/>
    </row>
    <row r="62">
      <c r="A62" s="9" t="n"/>
      <c r="B62" s="9" t="n"/>
      <c r="C62" s="9" t="n"/>
    </row>
    <row r="63">
      <c r="A63" s="9" t="n"/>
      <c r="B63" s="9" t="n"/>
      <c r="C63" s="9" t="n"/>
    </row>
  </sheetData>
  <mergeCells count="1">
    <mergeCell ref="A1:C1"/>
  </mergeCells>
  <dataValidations count="1">
    <dataValidation sqref="B3:B63" showDropDown="0" showInputMessage="0" showErrorMessage="0" allowBlank="1" type="list">
      <formula1>"5,6,7,8"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8" customWidth="1" min="3" max="3"/>
    <col width="18" customWidth="1" min="4" max="4"/>
    <col width="18" customWidth="1" min="5" max="5"/>
    <col width="18" customWidth="1" min="6" max="6"/>
    <col width="9" customWidth="1" min="7" max="7"/>
    <col width="35" customWidth="1" min="8" max="8"/>
  </cols>
  <sheetData>
    <row r="1" ht="22" customHeight="1">
      <c r="A1" s="7" t="inlineStr">
        <is>
          <t>Yinghua Track — Meet Attendance Sign-Up</t>
        </is>
      </c>
    </row>
    <row r="2">
      <c r="A2" s="11" t="inlineStr">
        <is>
          <t>Athlete</t>
        </is>
      </c>
      <c r="C2" s="11" t="inlineStr">
        <is>
          <t>Pick Yes / No for each meet</t>
        </is>
      </c>
      <c r="G2" s="11" t="inlineStr">
        <is>
          <t>Summary</t>
        </is>
      </c>
    </row>
    <row r="3" ht="78" customHeight="1">
      <c r="A3" s="8" t="inlineStr">
        <is>
          <t>Name</t>
        </is>
      </c>
      <c r="B3" s="8" t="inlineStr">
        <is>
          <t>Grade</t>
        </is>
      </c>
      <c r="C3" s="8" t="inlineStr">
        <is>
          <t>Wed 5/6
4:15 PM
Olson MS — Bloomington
(Jefferson HS)
Grades 6-8</t>
        </is>
      </c>
      <c r="D3" s="8" t="inlineStr">
        <is>
          <t>Sat 5/9
9:00 AM
St. Paul Central H.S.
(St. Paul Central HS)
Grades 5-8</t>
        </is>
      </c>
      <c r="E3" s="8" t="inlineStr">
        <is>
          <t>Wed 5/13
4:00 PM
Prior Lake
(Prior Lake HS)
Grades 6-8</t>
        </is>
      </c>
      <c r="F3" s="8" t="inlineStr">
        <is>
          <t>Fri 5/15
5:00–8:00 PM
TCGIS
(Concordia Academy)
Grades 5-8</t>
        </is>
      </c>
      <c r="G3" s="12" t="inlineStr">
        <is>
          <t># Meets
(yes count)</t>
        </is>
      </c>
      <c r="H3" s="12" t="inlineStr">
        <is>
          <t>Comments / notes
(arriving late, leaving early, etc.)</t>
        </is>
      </c>
    </row>
    <row r="4">
      <c r="A4" s="9">
        <f>IF(Roster!A3="","",Roster!A3)</f>
        <v/>
      </c>
      <c r="B4" s="10">
        <f>IF(Roster!B3="","",Roster!B3)</f>
        <v/>
      </c>
      <c r="C4" s="10" t="n"/>
      <c r="D4" s="10" t="n"/>
      <c r="E4" s="10" t="n"/>
      <c r="F4" s="10" t="n"/>
      <c r="G4" s="13">
        <f>IF(A4="","",COUNTIF(C4:F4,"Yes"))</f>
        <v/>
      </c>
      <c r="H4" s="14" t="n"/>
    </row>
    <row r="5">
      <c r="A5" s="9">
        <f>IF(Roster!A4="","",Roster!A4)</f>
        <v/>
      </c>
      <c r="B5" s="10">
        <f>IF(Roster!B4="","",Roster!B4)</f>
        <v/>
      </c>
      <c r="C5" s="10" t="n"/>
      <c r="D5" s="10" t="n"/>
      <c r="E5" s="10" t="n"/>
      <c r="F5" s="10" t="n"/>
      <c r="G5" s="13">
        <f>IF(A5="","",COUNTIF(C5:F5,"Yes"))</f>
        <v/>
      </c>
      <c r="H5" s="14" t="n"/>
    </row>
    <row r="6">
      <c r="A6" s="9">
        <f>IF(Roster!A5="","",Roster!A5)</f>
        <v/>
      </c>
      <c r="B6" s="10">
        <f>IF(Roster!B5="","",Roster!B5)</f>
        <v/>
      </c>
      <c r="C6" s="10" t="n"/>
      <c r="D6" s="10" t="n"/>
      <c r="E6" s="10" t="n"/>
      <c r="F6" s="10" t="n"/>
      <c r="G6" s="13">
        <f>IF(A6="","",COUNTIF(C6:F6,"Yes"))</f>
        <v/>
      </c>
      <c r="H6" s="14" t="n"/>
    </row>
    <row r="7">
      <c r="A7" s="9">
        <f>IF(Roster!A6="","",Roster!A6)</f>
        <v/>
      </c>
      <c r="B7" s="10">
        <f>IF(Roster!B6="","",Roster!B6)</f>
        <v/>
      </c>
      <c r="C7" s="10" t="n"/>
      <c r="D7" s="10" t="n"/>
      <c r="E7" s="10" t="n"/>
      <c r="F7" s="10" t="n"/>
      <c r="G7" s="13">
        <f>IF(A7="","",COUNTIF(C7:F7,"Yes"))</f>
        <v/>
      </c>
      <c r="H7" s="14" t="n"/>
    </row>
    <row r="8">
      <c r="A8" s="9">
        <f>IF(Roster!A7="","",Roster!A7)</f>
        <v/>
      </c>
      <c r="B8" s="10">
        <f>IF(Roster!B7="","",Roster!B7)</f>
        <v/>
      </c>
      <c r="C8" s="10" t="n"/>
      <c r="D8" s="10" t="n"/>
      <c r="E8" s="10" t="n"/>
      <c r="F8" s="10" t="n"/>
      <c r="G8" s="13">
        <f>IF(A8="","",COUNTIF(C8:F8,"Yes"))</f>
        <v/>
      </c>
      <c r="H8" s="14" t="n"/>
    </row>
    <row r="9">
      <c r="A9" s="9">
        <f>IF(Roster!A8="","",Roster!A8)</f>
        <v/>
      </c>
      <c r="B9" s="10">
        <f>IF(Roster!B8="","",Roster!B8)</f>
        <v/>
      </c>
      <c r="C9" s="10" t="n"/>
      <c r="D9" s="10" t="n"/>
      <c r="E9" s="10" t="n"/>
      <c r="F9" s="10" t="n"/>
      <c r="G9" s="13">
        <f>IF(A9="","",COUNTIF(C9:F9,"Yes"))</f>
        <v/>
      </c>
      <c r="H9" s="14" t="n"/>
    </row>
    <row r="10">
      <c r="A10" s="9">
        <f>IF(Roster!A9="","",Roster!A9)</f>
        <v/>
      </c>
      <c r="B10" s="10">
        <f>IF(Roster!B9="","",Roster!B9)</f>
        <v/>
      </c>
      <c r="C10" s="10" t="n"/>
      <c r="D10" s="10" t="n"/>
      <c r="E10" s="10" t="n"/>
      <c r="F10" s="10" t="n"/>
      <c r="G10" s="13">
        <f>IF(A10="","",COUNTIF(C10:F10,"Yes"))</f>
        <v/>
      </c>
      <c r="H10" s="14" t="n"/>
    </row>
    <row r="11">
      <c r="A11" s="9">
        <f>IF(Roster!A10="","",Roster!A10)</f>
        <v/>
      </c>
      <c r="B11" s="10">
        <f>IF(Roster!B10="","",Roster!B10)</f>
        <v/>
      </c>
      <c r="C11" s="10" t="n"/>
      <c r="D11" s="10" t="n"/>
      <c r="E11" s="10" t="n"/>
      <c r="F11" s="10" t="n"/>
      <c r="G11" s="13">
        <f>IF(A11="","",COUNTIF(C11:F11,"Yes"))</f>
        <v/>
      </c>
      <c r="H11" s="14" t="n"/>
    </row>
    <row r="12">
      <c r="A12" s="9">
        <f>IF(Roster!A11="","",Roster!A11)</f>
        <v/>
      </c>
      <c r="B12" s="10">
        <f>IF(Roster!B11="","",Roster!B11)</f>
        <v/>
      </c>
      <c r="C12" s="10" t="n"/>
      <c r="D12" s="10" t="n"/>
      <c r="E12" s="10" t="n"/>
      <c r="F12" s="10" t="n"/>
      <c r="G12" s="13">
        <f>IF(A12="","",COUNTIF(C12:F12,"Yes"))</f>
        <v/>
      </c>
      <c r="H12" s="14" t="n"/>
    </row>
    <row r="13">
      <c r="A13" s="9">
        <f>IF(Roster!A12="","",Roster!A12)</f>
        <v/>
      </c>
      <c r="B13" s="10">
        <f>IF(Roster!B12="","",Roster!B12)</f>
        <v/>
      </c>
      <c r="C13" s="10" t="n"/>
      <c r="D13" s="10" t="n"/>
      <c r="E13" s="10" t="n"/>
      <c r="F13" s="10" t="n"/>
      <c r="G13" s="13">
        <f>IF(A13="","",COUNTIF(C13:F13,"Yes"))</f>
        <v/>
      </c>
      <c r="H13" s="14" t="n"/>
    </row>
    <row r="14">
      <c r="A14" s="9">
        <f>IF(Roster!A13="","",Roster!A13)</f>
        <v/>
      </c>
      <c r="B14" s="10">
        <f>IF(Roster!B13="","",Roster!B13)</f>
        <v/>
      </c>
      <c r="C14" s="10" t="n"/>
      <c r="D14" s="10" t="n"/>
      <c r="E14" s="10" t="n"/>
      <c r="F14" s="10" t="n"/>
      <c r="G14" s="13">
        <f>IF(A14="","",COUNTIF(C14:F14,"Yes"))</f>
        <v/>
      </c>
      <c r="H14" s="14" t="n"/>
    </row>
    <row r="15">
      <c r="A15" s="9">
        <f>IF(Roster!A14="","",Roster!A14)</f>
        <v/>
      </c>
      <c r="B15" s="10">
        <f>IF(Roster!B14="","",Roster!B14)</f>
        <v/>
      </c>
      <c r="C15" s="10" t="n"/>
      <c r="D15" s="10" t="n"/>
      <c r="E15" s="10" t="n"/>
      <c r="F15" s="10" t="n"/>
      <c r="G15" s="13">
        <f>IF(A15="","",COUNTIF(C15:F15,"Yes"))</f>
        <v/>
      </c>
      <c r="H15" s="14" t="n"/>
    </row>
    <row r="16">
      <c r="A16" s="9">
        <f>IF(Roster!A15="","",Roster!A15)</f>
        <v/>
      </c>
      <c r="B16" s="10">
        <f>IF(Roster!B15="","",Roster!B15)</f>
        <v/>
      </c>
      <c r="C16" s="10" t="n"/>
      <c r="D16" s="10" t="n"/>
      <c r="E16" s="10" t="n"/>
      <c r="F16" s="10" t="n"/>
      <c r="G16" s="13">
        <f>IF(A16="","",COUNTIF(C16:F16,"Yes"))</f>
        <v/>
      </c>
      <c r="H16" s="14" t="n"/>
    </row>
    <row r="17">
      <c r="A17" s="9">
        <f>IF(Roster!A16="","",Roster!A16)</f>
        <v/>
      </c>
      <c r="B17" s="10">
        <f>IF(Roster!B16="","",Roster!B16)</f>
        <v/>
      </c>
      <c r="C17" s="10" t="n"/>
      <c r="D17" s="10" t="n"/>
      <c r="E17" s="10" t="n"/>
      <c r="F17" s="10" t="n"/>
      <c r="G17" s="13">
        <f>IF(A17="","",COUNTIF(C17:F17,"Yes"))</f>
        <v/>
      </c>
      <c r="H17" s="14" t="n"/>
    </row>
    <row r="18">
      <c r="A18" s="9">
        <f>IF(Roster!A17="","",Roster!A17)</f>
        <v/>
      </c>
      <c r="B18" s="10">
        <f>IF(Roster!B17="","",Roster!B17)</f>
        <v/>
      </c>
      <c r="C18" s="10" t="n"/>
      <c r="D18" s="10" t="n"/>
      <c r="E18" s="10" t="n"/>
      <c r="F18" s="10" t="n"/>
      <c r="G18" s="13">
        <f>IF(A18="","",COUNTIF(C18:F18,"Yes"))</f>
        <v/>
      </c>
      <c r="H18" s="14" t="n"/>
    </row>
    <row r="19">
      <c r="A19" s="9">
        <f>IF(Roster!A18="","",Roster!A18)</f>
        <v/>
      </c>
      <c r="B19" s="10">
        <f>IF(Roster!B18="","",Roster!B18)</f>
        <v/>
      </c>
      <c r="C19" s="10" t="n"/>
      <c r="D19" s="10" t="n"/>
      <c r="E19" s="10" t="n"/>
      <c r="F19" s="10" t="n"/>
      <c r="G19" s="13">
        <f>IF(A19="","",COUNTIF(C19:F19,"Yes"))</f>
        <v/>
      </c>
      <c r="H19" s="14" t="n"/>
    </row>
    <row r="20">
      <c r="A20" s="9">
        <f>IF(Roster!A19="","",Roster!A19)</f>
        <v/>
      </c>
      <c r="B20" s="10">
        <f>IF(Roster!B19="","",Roster!B19)</f>
        <v/>
      </c>
      <c r="C20" s="10" t="n"/>
      <c r="D20" s="10" t="n"/>
      <c r="E20" s="10" t="n"/>
      <c r="F20" s="10" t="n"/>
      <c r="G20" s="13">
        <f>IF(A20="","",COUNTIF(C20:F20,"Yes"))</f>
        <v/>
      </c>
      <c r="H20" s="14" t="n"/>
    </row>
    <row r="21">
      <c r="A21" s="9">
        <f>IF(Roster!A20="","",Roster!A20)</f>
        <v/>
      </c>
      <c r="B21" s="10">
        <f>IF(Roster!B20="","",Roster!B20)</f>
        <v/>
      </c>
      <c r="C21" s="10" t="n"/>
      <c r="D21" s="10" t="n"/>
      <c r="E21" s="10" t="n"/>
      <c r="F21" s="10" t="n"/>
      <c r="G21" s="13">
        <f>IF(A21="","",COUNTIF(C21:F21,"Yes"))</f>
        <v/>
      </c>
      <c r="H21" s="14" t="n"/>
    </row>
    <row r="22">
      <c r="A22" s="9">
        <f>IF(Roster!A21="","",Roster!A21)</f>
        <v/>
      </c>
      <c r="B22" s="10">
        <f>IF(Roster!B21="","",Roster!B21)</f>
        <v/>
      </c>
      <c r="C22" s="10" t="n"/>
      <c r="D22" s="10" t="n"/>
      <c r="E22" s="10" t="n"/>
      <c r="F22" s="10" t="n"/>
      <c r="G22" s="13">
        <f>IF(A22="","",COUNTIF(C22:F22,"Yes"))</f>
        <v/>
      </c>
      <c r="H22" s="14" t="n"/>
    </row>
    <row r="23">
      <c r="A23" s="9">
        <f>IF(Roster!A22="","",Roster!A22)</f>
        <v/>
      </c>
      <c r="B23" s="10">
        <f>IF(Roster!B22="","",Roster!B22)</f>
        <v/>
      </c>
      <c r="C23" s="10" t="n"/>
      <c r="D23" s="10" t="n"/>
      <c r="E23" s="10" t="n"/>
      <c r="F23" s="10" t="n"/>
      <c r="G23" s="13">
        <f>IF(A23="","",COUNTIF(C23:F23,"Yes"))</f>
        <v/>
      </c>
      <c r="H23" s="14" t="n"/>
    </row>
    <row r="24">
      <c r="A24" s="9">
        <f>IF(Roster!A23="","",Roster!A23)</f>
        <v/>
      </c>
      <c r="B24" s="10">
        <f>IF(Roster!B23="","",Roster!B23)</f>
        <v/>
      </c>
      <c r="C24" s="10" t="n"/>
      <c r="D24" s="10" t="n"/>
      <c r="E24" s="10" t="n"/>
      <c r="F24" s="10" t="n"/>
      <c r="G24" s="13">
        <f>IF(A24="","",COUNTIF(C24:F24,"Yes"))</f>
        <v/>
      </c>
      <c r="H24" s="14" t="n"/>
    </row>
    <row r="25">
      <c r="A25" s="9">
        <f>IF(Roster!A24="","",Roster!A24)</f>
        <v/>
      </c>
      <c r="B25" s="10">
        <f>IF(Roster!B24="","",Roster!B24)</f>
        <v/>
      </c>
      <c r="C25" s="10" t="n"/>
      <c r="D25" s="10" t="n"/>
      <c r="E25" s="10" t="n"/>
      <c r="F25" s="10" t="n"/>
      <c r="G25" s="13">
        <f>IF(A25="","",COUNTIF(C25:F25,"Yes"))</f>
        <v/>
      </c>
      <c r="H25" s="14" t="n"/>
    </row>
    <row r="26">
      <c r="A26" s="9">
        <f>IF(Roster!A25="","",Roster!A25)</f>
        <v/>
      </c>
      <c r="B26" s="10">
        <f>IF(Roster!B25="","",Roster!B25)</f>
        <v/>
      </c>
      <c r="C26" s="10" t="n"/>
      <c r="D26" s="10" t="n"/>
      <c r="E26" s="10" t="n"/>
      <c r="F26" s="10" t="n"/>
      <c r="G26" s="13">
        <f>IF(A26="","",COUNTIF(C26:F26,"Yes"))</f>
        <v/>
      </c>
      <c r="H26" s="14" t="n"/>
    </row>
    <row r="27">
      <c r="A27" s="9">
        <f>IF(Roster!A26="","",Roster!A26)</f>
        <v/>
      </c>
      <c r="B27" s="10">
        <f>IF(Roster!B26="","",Roster!B26)</f>
        <v/>
      </c>
      <c r="C27" s="10" t="n"/>
      <c r="D27" s="10" t="n"/>
      <c r="E27" s="10" t="n"/>
      <c r="F27" s="10" t="n"/>
      <c r="G27" s="13">
        <f>IF(A27="","",COUNTIF(C27:F27,"Yes"))</f>
        <v/>
      </c>
      <c r="H27" s="14" t="n"/>
    </row>
    <row r="28">
      <c r="A28" s="9">
        <f>IF(Roster!A27="","",Roster!A27)</f>
        <v/>
      </c>
      <c r="B28" s="10">
        <f>IF(Roster!B27="","",Roster!B27)</f>
        <v/>
      </c>
      <c r="C28" s="10" t="n"/>
      <c r="D28" s="10" t="n"/>
      <c r="E28" s="10" t="n"/>
      <c r="F28" s="10" t="n"/>
      <c r="G28" s="13">
        <f>IF(A28="","",COUNTIF(C28:F28,"Yes"))</f>
        <v/>
      </c>
      <c r="H28" s="14" t="n"/>
    </row>
    <row r="29">
      <c r="A29" s="9">
        <f>IF(Roster!A28="","",Roster!A28)</f>
        <v/>
      </c>
      <c r="B29" s="10">
        <f>IF(Roster!B28="","",Roster!B28)</f>
        <v/>
      </c>
      <c r="C29" s="10" t="n"/>
      <c r="D29" s="10" t="n"/>
      <c r="E29" s="10" t="n"/>
      <c r="F29" s="10" t="n"/>
      <c r="G29" s="13">
        <f>IF(A29="","",COUNTIF(C29:F29,"Yes"))</f>
        <v/>
      </c>
      <c r="H29" s="14" t="n"/>
    </row>
    <row r="30">
      <c r="A30" s="9">
        <f>IF(Roster!A29="","",Roster!A29)</f>
        <v/>
      </c>
      <c r="B30" s="10">
        <f>IF(Roster!B29="","",Roster!B29)</f>
        <v/>
      </c>
      <c r="C30" s="10" t="n"/>
      <c r="D30" s="10" t="n"/>
      <c r="E30" s="10" t="n"/>
      <c r="F30" s="10" t="n"/>
      <c r="G30" s="13">
        <f>IF(A30="","",COUNTIF(C30:F30,"Yes"))</f>
        <v/>
      </c>
      <c r="H30" s="14" t="n"/>
    </row>
    <row r="31">
      <c r="A31" s="9">
        <f>IF(Roster!A30="","",Roster!A30)</f>
        <v/>
      </c>
      <c r="B31" s="10">
        <f>IF(Roster!B30="","",Roster!B30)</f>
        <v/>
      </c>
      <c r="C31" s="10" t="n"/>
      <c r="D31" s="10" t="n"/>
      <c r="E31" s="10" t="n"/>
      <c r="F31" s="10" t="n"/>
      <c r="G31" s="13">
        <f>IF(A31="","",COUNTIF(C31:F31,"Yes"))</f>
        <v/>
      </c>
      <c r="H31" s="14" t="n"/>
    </row>
    <row r="32">
      <c r="A32" s="9">
        <f>IF(Roster!A31="","",Roster!A31)</f>
        <v/>
      </c>
      <c r="B32" s="10">
        <f>IF(Roster!B31="","",Roster!B31)</f>
        <v/>
      </c>
      <c r="C32" s="10" t="n"/>
      <c r="D32" s="10" t="n"/>
      <c r="E32" s="10" t="n"/>
      <c r="F32" s="10" t="n"/>
      <c r="G32" s="13">
        <f>IF(A32="","",COUNTIF(C32:F32,"Yes"))</f>
        <v/>
      </c>
      <c r="H32" s="14" t="n"/>
    </row>
    <row r="33">
      <c r="A33" s="9">
        <f>IF(Roster!A32="","",Roster!A32)</f>
        <v/>
      </c>
      <c r="B33" s="10">
        <f>IF(Roster!B32="","",Roster!B32)</f>
        <v/>
      </c>
      <c r="C33" s="10" t="n"/>
      <c r="D33" s="10" t="n"/>
      <c r="E33" s="10" t="n"/>
      <c r="F33" s="10" t="n"/>
      <c r="G33" s="13">
        <f>IF(A33="","",COUNTIF(C33:F33,"Yes"))</f>
        <v/>
      </c>
      <c r="H33" s="14" t="n"/>
    </row>
    <row r="34">
      <c r="A34" s="9">
        <f>IF(Roster!A33="","",Roster!A33)</f>
        <v/>
      </c>
      <c r="B34" s="10">
        <f>IF(Roster!B33="","",Roster!B33)</f>
        <v/>
      </c>
      <c r="C34" s="10" t="n"/>
      <c r="D34" s="10" t="n"/>
      <c r="E34" s="10" t="n"/>
      <c r="F34" s="10" t="n"/>
      <c r="G34" s="13">
        <f>IF(A34="","",COUNTIF(C34:F34,"Yes"))</f>
        <v/>
      </c>
      <c r="H34" s="14" t="n"/>
    </row>
    <row r="35">
      <c r="A35" s="9">
        <f>IF(Roster!A34="","",Roster!A34)</f>
        <v/>
      </c>
      <c r="B35" s="10">
        <f>IF(Roster!B34="","",Roster!B34)</f>
        <v/>
      </c>
      <c r="C35" s="10" t="n"/>
      <c r="D35" s="10" t="n"/>
      <c r="E35" s="10" t="n"/>
      <c r="F35" s="10" t="n"/>
      <c r="G35" s="13">
        <f>IF(A35="","",COUNTIF(C35:F35,"Yes"))</f>
        <v/>
      </c>
      <c r="H35" s="14" t="n"/>
    </row>
    <row r="36">
      <c r="A36" s="9">
        <f>IF(Roster!A35="","",Roster!A35)</f>
        <v/>
      </c>
      <c r="B36" s="10">
        <f>IF(Roster!B35="","",Roster!B35)</f>
        <v/>
      </c>
      <c r="C36" s="10" t="n"/>
      <c r="D36" s="10" t="n"/>
      <c r="E36" s="10" t="n"/>
      <c r="F36" s="10" t="n"/>
      <c r="G36" s="13">
        <f>IF(A36="","",COUNTIF(C36:F36,"Yes"))</f>
        <v/>
      </c>
      <c r="H36" s="14" t="n"/>
    </row>
    <row r="37">
      <c r="A37" s="9">
        <f>IF(Roster!A36="","",Roster!A36)</f>
        <v/>
      </c>
      <c r="B37" s="10">
        <f>IF(Roster!B36="","",Roster!B36)</f>
        <v/>
      </c>
      <c r="C37" s="10" t="n"/>
      <c r="D37" s="10" t="n"/>
      <c r="E37" s="10" t="n"/>
      <c r="F37" s="10" t="n"/>
      <c r="G37" s="13">
        <f>IF(A37="","",COUNTIF(C37:F37,"Yes"))</f>
        <v/>
      </c>
      <c r="H37" s="14" t="n"/>
    </row>
    <row r="38">
      <c r="A38" s="9">
        <f>IF(Roster!A37="","",Roster!A37)</f>
        <v/>
      </c>
      <c r="B38" s="10">
        <f>IF(Roster!B37="","",Roster!B37)</f>
        <v/>
      </c>
      <c r="C38" s="10" t="n"/>
      <c r="D38" s="10" t="n"/>
      <c r="E38" s="10" t="n"/>
      <c r="F38" s="10" t="n"/>
      <c r="G38" s="13">
        <f>IF(A38="","",COUNTIF(C38:F38,"Yes"))</f>
        <v/>
      </c>
      <c r="H38" s="14" t="n"/>
    </row>
    <row r="39">
      <c r="A39" s="9">
        <f>IF(Roster!A38="","",Roster!A38)</f>
        <v/>
      </c>
      <c r="B39" s="10">
        <f>IF(Roster!B38="","",Roster!B38)</f>
        <v/>
      </c>
      <c r="C39" s="10" t="n"/>
      <c r="D39" s="10" t="n"/>
      <c r="E39" s="10" t="n"/>
      <c r="F39" s="10" t="n"/>
      <c r="G39" s="13">
        <f>IF(A39="","",COUNTIF(C39:F39,"Yes"))</f>
        <v/>
      </c>
      <c r="H39" s="14" t="n"/>
    </row>
    <row r="40">
      <c r="A40" s="9">
        <f>IF(Roster!A39="","",Roster!A39)</f>
        <v/>
      </c>
      <c r="B40" s="10">
        <f>IF(Roster!B39="","",Roster!B39)</f>
        <v/>
      </c>
      <c r="C40" s="10" t="n"/>
      <c r="D40" s="10" t="n"/>
      <c r="E40" s="10" t="n"/>
      <c r="F40" s="10" t="n"/>
      <c r="G40" s="13">
        <f>IF(A40="","",COUNTIF(C40:F40,"Yes"))</f>
        <v/>
      </c>
      <c r="H40" s="14" t="n"/>
    </row>
    <row r="41">
      <c r="A41" s="9">
        <f>IF(Roster!A40="","",Roster!A40)</f>
        <v/>
      </c>
      <c r="B41" s="10">
        <f>IF(Roster!B40="","",Roster!B40)</f>
        <v/>
      </c>
      <c r="C41" s="10" t="n"/>
      <c r="D41" s="10" t="n"/>
      <c r="E41" s="10" t="n"/>
      <c r="F41" s="10" t="n"/>
      <c r="G41" s="13">
        <f>IF(A41="","",COUNTIF(C41:F41,"Yes"))</f>
        <v/>
      </c>
      <c r="H41" s="14" t="n"/>
    </row>
    <row r="42">
      <c r="A42" s="9">
        <f>IF(Roster!A41="","",Roster!A41)</f>
        <v/>
      </c>
      <c r="B42" s="10">
        <f>IF(Roster!B41="","",Roster!B41)</f>
        <v/>
      </c>
      <c r="C42" s="10" t="n"/>
      <c r="D42" s="10" t="n"/>
      <c r="E42" s="10" t="n"/>
      <c r="F42" s="10" t="n"/>
      <c r="G42" s="13">
        <f>IF(A42="","",COUNTIF(C42:F42,"Yes"))</f>
        <v/>
      </c>
      <c r="H42" s="14" t="n"/>
    </row>
    <row r="43">
      <c r="A43" s="9">
        <f>IF(Roster!A42="","",Roster!A42)</f>
        <v/>
      </c>
      <c r="B43" s="10">
        <f>IF(Roster!B42="","",Roster!B42)</f>
        <v/>
      </c>
      <c r="C43" s="10" t="n"/>
      <c r="D43" s="10" t="n"/>
      <c r="E43" s="10" t="n"/>
      <c r="F43" s="10" t="n"/>
      <c r="G43" s="13">
        <f>IF(A43="","",COUNTIF(C43:F43,"Yes"))</f>
        <v/>
      </c>
      <c r="H43" s="14" t="n"/>
    </row>
    <row r="44">
      <c r="A44" s="9">
        <f>IF(Roster!A43="","",Roster!A43)</f>
        <v/>
      </c>
      <c r="B44" s="10">
        <f>IF(Roster!B43="","",Roster!B43)</f>
        <v/>
      </c>
      <c r="C44" s="10" t="n"/>
      <c r="D44" s="10" t="n"/>
      <c r="E44" s="10" t="n"/>
      <c r="F44" s="10" t="n"/>
      <c r="G44" s="13">
        <f>IF(A44="","",COUNTIF(C44:F44,"Yes"))</f>
        <v/>
      </c>
      <c r="H44" s="14" t="n"/>
    </row>
    <row r="45">
      <c r="A45" s="9">
        <f>IF(Roster!A44="","",Roster!A44)</f>
        <v/>
      </c>
      <c r="B45" s="10">
        <f>IF(Roster!B44="","",Roster!B44)</f>
        <v/>
      </c>
      <c r="C45" s="10" t="n"/>
      <c r="D45" s="10" t="n"/>
      <c r="E45" s="10" t="n"/>
      <c r="F45" s="10" t="n"/>
      <c r="G45" s="13">
        <f>IF(A45="","",COUNTIF(C45:F45,"Yes"))</f>
        <v/>
      </c>
      <c r="H45" s="14" t="n"/>
    </row>
    <row r="46">
      <c r="A46" s="9">
        <f>IF(Roster!A45="","",Roster!A45)</f>
        <v/>
      </c>
      <c r="B46" s="10">
        <f>IF(Roster!B45="","",Roster!B45)</f>
        <v/>
      </c>
      <c r="C46" s="10" t="n"/>
      <c r="D46" s="10" t="n"/>
      <c r="E46" s="10" t="n"/>
      <c r="F46" s="10" t="n"/>
      <c r="G46" s="13">
        <f>IF(A46="","",COUNTIF(C46:F46,"Yes"))</f>
        <v/>
      </c>
      <c r="H46" s="14" t="n"/>
    </row>
    <row r="47">
      <c r="A47" s="9">
        <f>IF(Roster!A46="","",Roster!A46)</f>
        <v/>
      </c>
      <c r="B47" s="10">
        <f>IF(Roster!B46="","",Roster!B46)</f>
        <v/>
      </c>
      <c r="C47" s="10" t="n"/>
      <c r="D47" s="10" t="n"/>
      <c r="E47" s="10" t="n"/>
      <c r="F47" s="10" t="n"/>
      <c r="G47" s="13">
        <f>IF(A47="","",COUNTIF(C47:F47,"Yes"))</f>
        <v/>
      </c>
      <c r="H47" s="14" t="n"/>
    </row>
    <row r="48">
      <c r="A48" s="9">
        <f>IF(Roster!A47="","",Roster!A47)</f>
        <v/>
      </c>
      <c r="B48" s="10">
        <f>IF(Roster!B47="","",Roster!B47)</f>
        <v/>
      </c>
      <c r="C48" s="10" t="n"/>
      <c r="D48" s="10" t="n"/>
      <c r="E48" s="10" t="n"/>
      <c r="F48" s="10" t="n"/>
      <c r="G48" s="13">
        <f>IF(A48="","",COUNTIF(C48:F48,"Yes"))</f>
        <v/>
      </c>
      <c r="H48" s="14" t="n"/>
    </row>
    <row r="49">
      <c r="A49" s="9">
        <f>IF(Roster!A48="","",Roster!A48)</f>
        <v/>
      </c>
      <c r="B49" s="10">
        <f>IF(Roster!B48="","",Roster!B48)</f>
        <v/>
      </c>
      <c r="C49" s="10" t="n"/>
      <c r="D49" s="10" t="n"/>
      <c r="E49" s="10" t="n"/>
      <c r="F49" s="10" t="n"/>
      <c r="G49" s="13">
        <f>IF(A49="","",COUNTIF(C49:F49,"Yes"))</f>
        <v/>
      </c>
      <c r="H49" s="14" t="n"/>
    </row>
    <row r="50">
      <c r="A50" s="9">
        <f>IF(Roster!A49="","",Roster!A49)</f>
        <v/>
      </c>
      <c r="B50" s="10">
        <f>IF(Roster!B49="","",Roster!B49)</f>
        <v/>
      </c>
      <c r="C50" s="10" t="n"/>
      <c r="D50" s="10" t="n"/>
      <c r="E50" s="10" t="n"/>
      <c r="F50" s="10" t="n"/>
      <c r="G50" s="13">
        <f>IF(A50="","",COUNTIF(C50:F50,"Yes"))</f>
        <v/>
      </c>
      <c r="H50" s="14" t="n"/>
    </row>
    <row r="51">
      <c r="A51" s="9">
        <f>IF(Roster!A50="","",Roster!A50)</f>
        <v/>
      </c>
      <c r="B51" s="10">
        <f>IF(Roster!B50="","",Roster!B50)</f>
        <v/>
      </c>
      <c r="C51" s="10" t="n"/>
      <c r="D51" s="10" t="n"/>
      <c r="E51" s="10" t="n"/>
      <c r="F51" s="10" t="n"/>
      <c r="G51" s="13">
        <f>IF(A51="","",COUNTIF(C51:F51,"Yes"))</f>
        <v/>
      </c>
      <c r="H51" s="14" t="n"/>
    </row>
    <row r="52">
      <c r="A52" s="9">
        <f>IF(Roster!A51="","",Roster!A51)</f>
        <v/>
      </c>
      <c r="B52" s="10">
        <f>IF(Roster!B51="","",Roster!B51)</f>
        <v/>
      </c>
      <c r="C52" s="10" t="n"/>
      <c r="D52" s="10" t="n"/>
      <c r="E52" s="10" t="n"/>
      <c r="F52" s="10" t="n"/>
      <c r="G52" s="13">
        <f>IF(A52="","",COUNTIF(C52:F52,"Yes"))</f>
        <v/>
      </c>
      <c r="H52" s="14" t="n"/>
    </row>
    <row r="53">
      <c r="A53" s="9">
        <f>IF(Roster!A52="","",Roster!A52)</f>
        <v/>
      </c>
      <c r="B53" s="10">
        <f>IF(Roster!B52="","",Roster!B52)</f>
        <v/>
      </c>
      <c r="C53" s="10" t="n"/>
      <c r="D53" s="10" t="n"/>
      <c r="E53" s="10" t="n"/>
      <c r="F53" s="10" t="n"/>
      <c r="G53" s="13">
        <f>IF(A53="","",COUNTIF(C53:F53,"Yes"))</f>
        <v/>
      </c>
      <c r="H53" s="14" t="n"/>
    </row>
    <row r="54">
      <c r="A54" s="9">
        <f>IF(Roster!A53="","",Roster!A53)</f>
        <v/>
      </c>
      <c r="B54" s="10">
        <f>IF(Roster!B53="","",Roster!B53)</f>
        <v/>
      </c>
      <c r="C54" s="10" t="n"/>
      <c r="D54" s="10" t="n"/>
      <c r="E54" s="10" t="n"/>
      <c r="F54" s="10" t="n"/>
      <c r="G54" s="13">
        <f>IF(A54="","",COUNTIF(C54:F54,"Yes"))</f>
        <v/>
      </c>
      <c r="H54" s="14" t="n"/>
    </row>
    <row r="55">
      <c r="A55" s="9">
        <f>IF(Roster!A54="","",Roster!A54)</f>
        <v/>
      </c>
      <c r="B55" s="10">
        <f>IF(Roster!B54="","",Roster!B54)</f>
        <v/>
      </c>
      <c r="C55" s="10" t="n"/>
      <c r="D55" s="10" t="n"/>
      <c r="E55" s="10" t="n"/>
      <c r="F55" s="10" t="n"/>
      <c r="G55" s="13">
        <f>IF(A55="","",COUNTIF(C55:F55,"Yes"))</f>
        <v/>
      </c>
      <c r="H55" s="14" t="n"/>
    </row>
    <row r="56">
      <c r="A56" s="9">
        <f>IF(Roster!A55="","",Roster!A55)</f>
        <v/>
      </c>
      <c r="B56" s="10">
        <f>IF(Roster!B55="","",Roster!B55)</f>
        <v/>
      </c>
      <c r="C56" s="10" t="n"/>
      <c r="D56" s="10" t="n"/>
      <c r="E56" s="10" t="n"/>
      <c r="F56" s="10" t="n"/>
      <c r="G56" s="13">
        <f>IF(A56="","",COUNTIF(C56:F56,"Yes"))</f>
        <v/>
      </c>
      <c r="H56" s="14" t="n"/>
    </row>
    <row r="57">
      <c r="A57" s="9">
        <f>IF(Roster!A56="","",Roster!A56)</f>
        <v/>
      </c>
      <c r="B57" s="10">
        <f>IF(Roster!B56="","",Roster!B56)</f>
        <v/>
      </c>
      <c r="C57" s="10" t="n"/>
      <c r="D57" s="10" t="n"/>
      <c r="E57" s="10" t="n"/>
      <c r="F57" s="10" t="n"/>
      <c r="G57" s="13">
        <f>IF(A57="","",COUNTIF(C57:F57,"Yes"))</f>
        <v/>
      </c>
      <c r="H57" s="14" t="n"/>
    </row>
    <row r="58">
      <c r="A58" s="9">
        <f>IF(Roster!A57="","",Roster!A57)</f>
        <v/>
      </c>
      <c r="B58" s="10">
        <f>IF(Roster!B57="","",Roster!B57)</f>
        <v/>
      </c>
      <c r="C58" s="10" t="n"/>
      <c r="D58" s="10" t="n"/>
      <c r="E58" s="10" t="n"/>
      <c r="F58" s="10" t="n"/>
      <c r="G58" s="13">
        <f>IF(A58="","",COUNTIF(C58:F58,"Yes"))</f>
        <v/>
      </c>
      <c r="H58" s="14" t="n"/>
    </row>
    <row r="59">
      <c r="A59" s="9">
        <f>IF(Roster!A58="","",Roster!A58)</f>
        <v/>
      </c>
      <c r="B59" s="10">
        <f>IF(Roster!B58="","",Roster!B58)</f>
        <v/>
      </c>
      <c r="C59" s="10" t="n"/>
      <c r="D59" s="10" t="n"/>
      <c r="E59" s="10" t="n"/>
      <c r="F59" s="10" t="n"/>
      <c r="G59" s="13">
        <f>IF(A59="","",COUNTIF(C59:F59,"Yes"))</f>
        <v/>
      </c>
      <c r="H59" s="14" t="n"/>
    </row>
    <row r="60">
      <c r="A60" s="9">
        <f>IF(Roster!A59="","",Roster!A59)</f>
        <v/>
      </c>
      <c r="B60" s="10">
        <f>IF(Roster!B59="","",Roster!B59)</f>
        <v/>
      </c>
      <c r="C60" s="10" t="n"/>
      <c r="D60" s="10" t="n"/>
      <c r="E60" s="10" t="n"/>
      <c r="F60" s="10" t="n"/>
      <c r="G60" s="13">
        <f>IF(A60="","",COUNTIF(C60:F60,"Yes"))</f>
        <v/>
      </c>
      <c r="H60" s="14" t="n"/>
    </row>
    <row r="61">
      <c r="A61" s="9">
        <f>IF(Roster!A60="","",Roster!A60)</f>
        <v/>
      </c>
      <c r="B61" s="10">
        <f>IF(Roster!B60="","",Roster!B60)</f>
        <v/>
      </c>
      <c r="C61" s="10" t="n"/>
      <c r="D61" s="10" t="n"/>
      <c r="E61" s="10" t="n"/>
      <c r="F61" s="10" t="n"/>
      <c r="G61" s="13">
        <f>IF(A61="","",COUNTIF(C61:F61,"Yes"))</f>
        <v/>
      </c>
      <c r="H61" s="14" t="n"/>
    </row>
    <row r="62">
      <c r="A62" s="9">
        <f>IF(Roster!A61="","",Roster!A61)</f>
        <v/>
      </c>
      <c r="B62" s="10">
        <f>IF(Roster!B61="","",Roster!B61)</f>
        <v/>
      </c>
      <c r="C62" s="10" t="n"/>
      <c r="D62" s="10" t="n"/>
      <c r="E62" s="10" t="n"/>
      <c r="F62" s="10" t="n"/>
      <c r="G62" s="13">
        <f>IF(A62="","",COUNTIF(C62:F62,"Yes"))</f>
        <v/>
      </c>
      <c r="H62" s="14" t="n"/>
    </row>
    <row r="63">
      <c r="A63" s="9">
        <f>IF(Roster!A62="","",Roster!A62)</f>
        <v/>
      </c>
      <c r="B63" s="10">
        <f>IF(Roster!B62="","",Roster!B62)</f>
        <v/>
      </c>
      <c r="C63" s="10" t="n"/>
      <c r="D63" s="10" t="n"/>
      <c r="E63" s="10" t="n"/>
      <c r="F63" s="10" t="n"/>
      <c r="G63" s="13">
        <f>IF(A63="","",COUNTIF(C63:F63,"Yes"))</f>
        <v/>
      </c>
      <c r="H63" s="14" t="n"/>
    </row>
    <row r="64">
      <c r="A64" s="9">
        <f>IF(Roster!A63="","",Roster!A63)</f>
        <v/>
      </c>
      <c r="B64" s="10">
        <f>IF(Roster!B63="","",Roster!B63)</f>
        <v/>
      </c>
      <c r="C64" s="10" t="n"/>
      <c r="D64" s="10" t="n"/>
      <c r="E64" s="10" t="n"/>
      <c r="F64" s="10" t="n"/>
      <c r="G64" s="13">
        <f>IF(A64="","",COUNTIF(C64:F64,"Yes"))</f>
        <v/>
      </c>
      <c r="H64" s="14" t="n"/>
    </row>
    <row r="66">
      <c r="A66" s="11" t="inlineStr">
        <is>
          <t>Summary</t>
        </is>
      </c>
    </row>
    <row r="67">
      <c r="A67" s="15" t="inlineStr">
        <is>
          <t>Yes count</t>
        </is>
      </c>
      <c r="B67" s="16" t="inlineStr"/>
      <c r="C67" s="17">
        <f>COUNTIF(C4:C64,"Yes")</f>
        <v/>
      </c>
      <c r="D67" s="17">
        <f>COUNTIF(D4:D64,"Yes")</f>
        <v/>
      </c>
      <c r="E67" s="17">
        <f>COUNTIF(E4:E64,"Yes")</f>
        <v/>
      </c>
      <c r="F67" s="17">
        <f>COUNTIF(F4:F64,"Yes")</f>
        <v/>
      </c>
    </row>
    <row r="68">
      <c r="A68" s="15" t="inlineStr">
        <is>
          <t>No count</t>
        </is>
      </c>
      <c r="C68" s="18">
        <f>COUNTIF(C4:C64,"No")</f>
        <v/>
      </c>
      <c r="D68" s="18">
        <f>COUNTIF(D4:D64,"No")</f>
        <v/>
      </c>
      <c r="E68" s="18">
        <f>COUNTIF(E4:E64,"No")</f>
        <v/>
      </c>
      <c r="F68" s="18">
        <f>COUNTIF(F4:F64,"No")</f>
        <v/>
      </c>
    </row>
    <row r="69">
      <c r="A69" s="15" t="inlineStr">
        <is>
          <t>Awaiting response</t>
        </is>
      </c>
      <c r="C69" s="19">
        <f>SUMPRODUCT(($A$4:$A$64&lt;&gt;"")*($B$4:$B$64&lt;&gt;5)*(C4:C64=""))</f>
        <v/>
      </c>
      <c r="D69" s="19">
        <f>SUMPRODUCT(($A$4:$A$64&lt;&gt;"")*(D4:D64=""))</f>
        <v/>
      </c>
      <c r="E69" s="19">
        <f>SUMPRODUCT(($A$4:$A$64&lt;&gt;"")*($B$4:$B$64&lt;&gt;5)*(E4:E64=""))</f>
        <v/>
      </c>
      <c r="F69" s="19">
        <f>SUMPRODUCT(($A$4:$A$64&lt;&gt;"")*(F4:F64=""))</f>
        <v/>
      </c>
    </row>
  </sheetData>
  <mergeCells count="5">
    <mergeCell ref="A2:B2"/>
    <mergeCell ref="G2:H2"/>
    <mergeCell ref="A66:H66"/>
    <mergeCell ref="A1:H1"/>
    <mergeCell ref="C2:F2"/>
  </mergeCells>
  <conditionalFormatting sqref="C4:C64">
    <cfRule type="expression" priority="1" dxfId="0" stopIfTrue="1">
      <formula>$B4=5</formula>
    </cfRule>
    <cfRule type="cellIs" priority="2" operator="equal" dxfId="1">
      <formula>"Yes"</formula>
    </cfRule>
    <cfRule type="cellIs" priority="3" operator="equal" dxfId="2">
      <formula>"No"</formula>
    </cfRule>
  </conditionalFormatting>
  <conditionalFormatting sqref="D4:D64">
    <cfRule type="cellIs" priority="4" operator="equal" dxfId="1">
      <formula>"Yes"</formula>
    </cfRule>
    <cfRule type="cellIs" priority="5" operator="equal" dxfId="2">
      <formula>"No"</formula>
    </cfRule>
  </conditionalFormatting>
  <conditionalFormatting sqref="E4:E64">
    <cfRule type="expression" priority="6" dxfId="0" stopIfTrue="1">
      <formula>$B4=5</formula>
    </cfRule>
    <cfRule type="cellIs" priority="7" operator="equal" dxfId="1">
      <formula>"Yes"</formula>
    </cfRule>
    <cfRule type="cellIs" priority="8" operator="equal" dxfId="2">
      <formula>"No"</formula>
    </cfRule>
  </conditionalFormatting>
  <conditionalFormatting sqref="F4:F64">
    <cfRule type="cellIs" priority="9" operator="equal" dxfId="1">
      <formula>"Yes"</formula>
    </cfRule>
    <cfRule type="cellIs" priority="10" operator="equal" dxfId="2">
      <formula>"No"</formula>
    </cfRule>
  </conditionalFormatting>
  <dataValidations count="1">
    <dataValidation sqref="C4:C64 D4:D64 E4:E64 F4:F64" showDropDown="0" showInputMessage="0" showErrorMessage="0" allowBlank="1" errorTitle="Please pick from the list" error="Choose Yes or No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2026-05-04T13:15:41Z</dcterms:created>
  <dcterms:modified xsi:type="dcterms:W3CDTF">2026-05-04T13:15:41Z</dcterms:modified>
</cp:coreProperties>
</file>