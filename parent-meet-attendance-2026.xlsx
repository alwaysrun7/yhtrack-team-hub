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4"/>
    <sheet state="visible" name="Roster" sheetId="2" r:id="rId5"/>
    <sheet state="visible" name="Sign-Up" sheetId="3" r:id="rId6"/>
  </sheets>
  <definedNames/>
  <calcPr/>
  <extLst>
    <ext uri="GoogleSheetsCustomDataVersion2">
      <go:sheetsCustomData xmlns:go="http://customooxmlschemas.google.com/" r:id="rId7" roundtripDataChecksum="KTwA1fnieLzHr7ea6hktDLTun9k7BMZl14qfKfm4/D4="/>
    </ext>
  </extLst>
</workbook>
</file>

<file path=xl/sharedStrings.xml><?xml version="1.0" encoding="utf-8"?>
<sst xmlns="http://schemas.openxmlformats.org/spreadsheetml/2006/main" count="303" uniqueCount="100">
  <si>
    <t>Yinghua Track — Parent Meet Attendance</t>
  </si>
  <si>
    <t>Hi parents! Please mark whether your child will attend each upcoming meet.</t>
  </si>
  <si>
    <t>How to use:</t>
  </si>
  <si>
    <t xml:space="preserve">  1. Go to the SIGN-UP tab.</t>
  </si>
  <si>
    <t xml:space="preserve">  2. Find your child's row (sorted alphabetically by last name).</t>
  </si>
  <si>
    <t xml:space="preserve">  3. For each meet column, choose Yes or No from the dropdown.</t>
  </si>
  <si>
    <t xml:space="preserve">  4. Optional: leave a quick note in the Comments column (e.g. arriving late, leaving early).</t>
  </si>
  <si>
    <t>Notes:</t>
  </si>
  <si>
    <t xml:space="preserve">  • Two meets are middle-school only. 5th-graders' cells for those meets are grayed out — please skip them.</t>
  </si>
  <si>
    <t xml:space="preserve">  • Coaches use the Yes/No counts at the bottom to plan transportation, heat sheets, and parent volunteers.</t>
  </si>
  <si>
    <t xml:space="preserve">  • If you're unsure, mark Yes — it's easier for us to remove an athlete than to add one last-minute.</t>
  </si>
  <si>
    <t>Meet schedule:</t>
  </si>
  <si>
    <t xml:space="preserve">  • Wed 5/6 (4:15 PM) — Olson MS — Bloomington at Jefferson HS — Grades 6-8</t>
  </si>
  <si>
    <t xml:space="preserve">  • Sat 5/9 (9:00 AM) — St. Paul Central H.S. at St. Paul Central HS — Grades 5-8</t>
  </si>
  <si>
    <t xml:space="preserve">  • Wed 5/13 (4:00 PM) — Prior Lake at Prior Lake HS — Grades 6-8</t>
  </si>
  <si>
    <t xml:space="preserve">  • Fri 5/15 (5:00–8:00 PM) — TCGIS at Concordia Academy — Grades 5-8</t>
  </si>
  <si>
    <t>Questions? Email Coach Drew at drewadding@gmail.com.</t>
  </si>
  <si>
    <t>Roster — edit here to add/remove athletes</t>
  </si>
  <si>
    <t>Name</t>
  </si>
  <si>
    <t>Grade</t>
  </si>
  <si>
    <t>Gender</t>
  </si>
  <si>
    <t>Reuben Addington</t>
  </si>
  <si>
    <t>M</t>
  </si>
  <si>
    <t>Cole Beaudry</t>
  </si>
  <si>
    <t>Keva Bowron</t>
  </si>
  <si>
    <t>F</t>
  </si>
  <si>
    <t>Teagan Bowron</t>
  </si>
  <si>
    <t>Liam Bursell</t>
  </si>
  <si>
    <t>Mila Bursell</t>
  </si>
  <si>
    <t>Grayson Chon</t>
  </si>
  <si>
    <t>Cooper Coblentz</t>
  </si>
  <si>
    <t>Hudson Coblentz</t>
  </si>
  <si>
    <t>Nathan Coblentz</t>
  </si>
  <si>
    <t>Addis Demere</t>
  </si>
  <si>
    <t>Amen Demere</t>
  </si>
  <si>
    <t>Kai Dinger</t>
  </si>
  <si>
    <t>Alexandra Ebinger</t>
  </si>
  <si>
    <t>Cora Ebinger</t>
  </si>
  <si>
    <t>Jace Euphosin</t>
  </si>
  <si>
    <t>Althea Bortel Fielder</t>
  </si>
  <si>
    <t>Elyse Folbrecht</t>
  </si>
  <si>
    <t>Walter Folbrecht</t>
  </si>
  <si>
    <t>Remy Fortin</t>
  </si>
  <si>
    <t>Gabriella Gruber</t>
  </si>
  <si>
    <t>Vienna Haas</t>
  </si>
  <si>
    <t>Aedan Herman</t>
  </si>
  <si>
    <t>Louie Herman</t>
  </si>
  <si>
    <t>Jasper Hill</t>
  </si>
  <si>
    <t>Ben Hinrichs</t>
  </si>
  <si>
    <t>Sage Houdek</t>
  </si>
  <si>
    <t>Ari Klapperich-Khuu</t>
  </si>
  <si>
    <t>Marcus Kunc</t>
  </si>
  <si>
    <t>Mattias Kunc</t>
  </si>
  <si>
    <t>Avinash Landahl</t>
  </si>
  <si>
    <t>Perrin Light-Haberstroh</t>
  </si>
  <si>
    <t>Devin Lindquist</t>
  </si>
  <si>
    <t>Brighton Balk Mmary</t>
  </si>
  <si>
    <t>Gabriel Nowariak</t>
  </si>
  <si>
    <t>Annika Peterson</t>
  </si>
  <si>
    <t>Cailee Pham</t>
  </si>
  <si>
    <t>Amelia Roddy</t>
  </si>
  <si>
    <t>Audrey Roffe</t>
  </si>
  <si>
    <t>Liv Romsaas</t>
  </si>
  <si>
    <t>Frank Ryan</t>
  </si>
  <si>
    <t>Louis Ryan</t>
  </si>
  <si>
    <t>Charlotte Saeger</t>
  </si>
  <si>
    <t>Arya Sanaka</t>
  </si>
  <si>
    <t>Leo Shu</t>
  </si>
  <si>
    <t>Harper Stewart</t>
  </si>
  <si>
    <t>Ben Surla</t>
  </si>
  <si>
    <t>Otto Terhark</t>
  </si>
  <si>
    <t>Jin Trenh</t>
  </si>
  <si>
    <t>Thea Trenh</t>
  </si>
  <si>
    <t>Ethan Tschida</t>
  </si>
  <si>
    <t>Isabel Tschida</t>
  </si>
  <si>
    <t>Caleb Wilson</t>
  </si>
  <si>
    <t>Isaac Wilson</t>
  </si>
  <si>
    <t>Tiancheng Yang</t>
  </si>
  <si>
    <t>Tianming Yang</t>
  </si>
  <si>
    <t>Yinghua Track — Meet Attendance Sign-Up</t>
  </si>
  <si>
    <t>Athlete</t>
  </si>
  <si>
    <t>Pick Yes / No for each meet</t>
  </si>
  <si>
    <t>Summary</t>
  </si>
  <si>
    <t>Wed 5/6
4:15 PM
Olson MS — Bloomington
(Jefferson HS)
Grades 6-8</t>
  </si>
  <si>
    <t>Sat 5/9
9:00 AM
St. Paul Central H.S.
(St. Paul Central HS)
Grades 5-8</t>
  </si>
  <si>
    <t>Wed 5/13
4:00 PM
Prior Lake
(Prior Lake HS)
Grades 6-8</t>
  </si>
  <si>
    <t>Fri 5/15
5:00–8:00 PM
TCGIS
(Concordia Academy)
Grades 5-8</t>
  </si>
  <si>
    <t># Meets
(yes count)</t>
  </si>
  <si>
    <t>Comments / notes
(arriving late, leaving early, etc.)</t>
  </si>
  <si>
    <t>Yes</t>
  </si>
  <si>
    <t>No</t>
  </si>
  <si>
    <t>8th grade dance 5-15</t>
  </si>
  <si>
    <t>out of town commitment 5-15</t>
  </si>
  <si>
    <t>5/15 No throwing events for Coach K, 8th Grade Dance for V</t>
  </si>
  <si>
    <t>Sage has an orchestra concert on 5/9; 8th grade dance on 5/15</t>
  </si>
  <si>
    <t>Wed 5/6 previous commitment. Fri 5/15 8th grade dance</t>
  </si>
  <si>
    <t>7th grade dance 5-15</t>
  </si>
  <si>
    <t>Yes count</t>
  </si>
  <si>
    <t>No count</t>
  </si>
  <si>
    <t>Awaiting response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</si>
</sst>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4.0"/>
      <color rgb="FFFFFFFF"/>
      <name val="Calibri"/>
      <scheme val="minor"/>
    </font>
    <font>
      <sz val="11.0"/>
      <color theme="1"/>
      <name val="Calibri"/>
    </font>
    <font>
      <b/>
      <sz val="11.0"/>
      <color theme="1"/>
      <name val="Calibri"/>
      <scheme val="minor"/>
    </font>
    <font>
      <sz val="10.0"/>
      <color theme="1"/>
      <name val="Calibri"/>
      <scheme val="minor"/>
    </font>
    <font>
      <i/>
      <sz val="10.0"/>
      <color rgb="FF666666"/>
      <name val="Calibri"/>
      <scheme val="minor"/>
    </font>
    <font/>
    <font>
      <b/>
      <sz val="10.0"/>
      <color theme="1"/>
      <name val="Calibri"/>
      <scheme val="minor"/>
    </font>
    <font>
      <b/>
      <sz val="11.0"/>
      <color rgb="FFFFFFFF"/>
      <name val="Calibri"/>
      <scheme val="minor"/>
    </font>
    <font>
      <b/>
      <color theme="1"/>
      <name val="Calibri"/>
      <scheme val="minor"/>
    </font>
    <font>
      <b/>
      <color rgb="FF2E7D32"/>
      <name val="Calibri"/>
      <scheme val="minor"/>
    </font>
    <font>
      <b/>
      <color rgb="FFC62828"/>
      <name val="Calibri"/>
      <scheme val="minor"/>
    </font>
    <font>
      <b/>
      <color rgb="FF888888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790E1D"/>
        <bgColor rgb="FF790E1D"/>
      </patternFill>
    </fill>
    <fill>
      <patternFill patternType="solid">
        <fgColor rgb="FFFFF3B0"/>
        <bgColor rgb="FFFFF3B0"/>
      </patternFill>
    </fill>
    <fill>
      <patternFill patternType="solid">
        <fgColor rgb="FFF5F5F5"/>
        <bgColor rgb="FFF5F5F5"/>
      </patternFill>
    </fill>
  </fills>
  <borders count="6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0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left" shrinkToFit="0" vertical="center" wrapText="1"/>
    </xf>
    <xf borderId="2" fillId="2" fontId="1" numFmtId="0" xfId="0" applyAlignment="1" applyBorder="1" applyFont="1">
      <alignment horizontal="left" vertical="center"/>
    </xf>
    <xf borderId="3" fillId="0" fontId="6" numFmtId="0" xfId="0" applyBorder="1" applyFont="1"/>
    <xf borderId="4" fillId="0" fontId="6" numFmtId="0" xfId="0" applyBorder="1" applyFont="1"/>
    <xf borderId="5" fillId="3" fontId="7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5" fillId="0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center" readingOrder="0" shrinkToFit="0" vertical="center" wrapText="1"/>
    </xf>
    <xf borderId="2" fillId="2" fontId="8" numFmtId="0" xfId="0" applyAlignment="1" applyBorder="1" applyFont="1">
      <alignment horizontal="center" shrinkToFit="0" vertical="center" wrapText="1"/>
    </xf>
    <xf borderId="5" fillId="4" fontId="7" numFmtId="0" xfId="0" applyAlignment="1" applyBorder="1" applyFill="1" applyFont="1">
      <alignment horizontal="center" shrinkToFit="0" vertical="center" wrapText="1"/>
    </xf>
    <xf borderId="5" fillId="4" fontId="2" numFmtId="0" xfId="0" applyAlignment="1" applyBorder="1" applyFont="1">
      <alignment horizontal="center" shrinkToFit="0" vertical="center" wrapText="1"/>
    </xf>
    <xf borderId="5" fillId="0" fontId="2" numFmtId="0" xfId="0" applyAlignment="1" applyBorder="1" applyFont="1">
      <alignment horizontal="left" shrinkToFit="0" vertical="center" wrapText="1"/>
    </xf>
    <xf borderId="5" fillId="0" fontId="2" numFmtId="0" xfId="0" applyAlignment="1" applyBorder="1" applyFont="1">
      <alignment horizontal="left" readingOrder="0" shrinkToFit="0" vertical="center" wrapText="1"/>
    </xf>
    <xf borderId="0" fillId="0" fontId="9" numFmtId="0" xfId="0" applyAlignment="1" applyFont="1">
      <alignment horizontal="right"/>
    </xf>
    <xf borderId="0" fillId="0" fontId="2" numFmtId="0" xfId="0" applyAlignment="1" applyFont="1">
      <alignment horizontal="center" shrinkToFit="0" vertical="center" wrapText="1"/>
    </xf>
    <xf borderId="5" fillId="4" fontId="10" numFmtId="0" xfId="0" applyAlignment="1" applyBorder="1" applyFont="1">
      <alignment horizontal="center" shrinkToFit="0" vertical="center" wrapText="1"/>
    </xf>
    <xf borderId="5" fillId="4" fontId="11" numFmtId="0" xfId="0" applyAlignment="1" applyBorder="1" applyFont="1">
      <alignment horizontal="center" shrinkToFit="0" vertical="center" wrapText="1"/>
    </xf>
    <xf borderId="5" fillId="4" fontId="12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3">
    <dxf>
      <font>
        <i/>
        <color rgb="FF888888"/>
      </font>
      <fill>
        <patternFill patternType="solid">
          <fgColor rgb="FFE0E0E0"/>
          <bgColor rgb="FFE0E0E0"/>
        </patternFill>
      </fill>
      <border/>
    </dxf>
    <dxf>
      <font>
        <b/>
        <color rgb="FF2E7D32"/>
      </font>
      <fill>
        <patternFill patternType="solid">
          <fgColor rgb="FFE8F5E9"/>
          <bgColor rgb="FFE8F5E9"/>
        </patternFill>
      </fill>
      <border/>
    </dxf>
    <dxf>
      <font>
        <b/>
        <color rgb="FFC62828"/>
      </font>
      <fill>
        <patternFill patternType="solid">
          <fgColor rgb="FFFFEBEE"/>
          <bgColor rgb="FFFFEB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25.5" customHeight="1">
      <c r="A1" s="1" t="s">
        <v>0</v>
      </c>
    </row>
    <row r="2">
      <c r="A2" s="2"/>
    </row>
    <row r="3">
      <c r="A3" s="3" t="s">
        <v>1</v>
      </c>
    </row>
    <row r="4">
      <c r="A4" s="2"/>
    </row>
    <row r="5">
      <c r="A5" s="4" t="s">
        <v>2</v>
      </c>
    </row>
    <row r="6">
      <c r="A6" s="5" t="s">
        <v>3</v>
      </c>
    </row>
    <row r="7">
      <c r="A7" s="5" t="s">
        <v>4</v>
      </c>
    </row>
    <row r="8">
      <c r="A8" s="5" t="s">
        <v>5</v>
      </c>
    </row>
    <row r="9">
      <c r="A9" s="5" t="s">
        <v>6</v>
      </c>
    </row>
    <row r="10">
      <c r="A10" s="2"/>
    </row>
    <row r="11">
      <c r="A11" s="4" t="s">
        <v>7</v>
      </c>
    </row>
    <row r="12">
      <c r="A12" s="5" t="s">
        <v>8</v>
      </c>
    </row>
    <row r="13">
      <c r="A13" s="5" t="s">
        <v>9</v>
      </c>
    </row>
    <row r="14">
      <c r="A14" s="5" t="s">
        <v>10</v>
      </c>
    </row>
    <row r="15">
      <c r="A15" s="2"/>
    </row>
    <row r="16">
      <c r="A16" s="4" t="s">
        <v>11</v>
      </c>
    </row>
    <row r="17">
      <c r="A17" s="5" t="s">
        <v>12</v>
      </c>
    </row>
    <row r="18">
      <c r="A18" s="5" t="s">
        <v>13</v>
      </c>
    </row>
    <row r="19">
      <c r="A19" s="5" t="s">
        <v>14</v>
      </c>
    </row>
    <row r="20">
      <c r="A20" s="5" t="s">
        <v>15</v>
      </c>
    </row>
    <row r="21" ht="15.75" customHeight="1">
      <c r="A21" s="2"/>
    </row>
    <row r="22" ht="15.75" customHeight="1">
      <c r="A22" s="6" t="s">
        <v>16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8.0"/>
    <col customWidth="1" min="2" max="3" width="8.0"/>
    <col customWidth="1" min="4" max="26" width="8.71"/>
  </cols>
  <sheetData>
    <row r="1" ht="21.75" customHeight="1">
      <c r="A1" s="7" t="s">
        <v>17</v>
      </c>
      <c r="B1" s="8"/>
      <c r="C1" s="9"/>
    </row>
    <row r="2">
      <c r="A2" s="10" t="s">
        <v>18</v>
      </c>
      <c r="B2" s="10" t="s">
        <v>19</v>
      </c>
      <c r="C2" s="10" t="s">
        <v>20</v>
      </c>
    </row>
    <row r="3">
      <c r="A3" s="11" t="s">
        <v>21</v>
      </c>
      <c r="B3" s="12">
        <v>6.0</v>
      </c>
      <c r="C3" s="12" t="s">
        <v>22</v>
      </c>
    </row>
    <row r="4">
      <c r="A4" s="11" t="s">
        <v>23</v>
      </c>
      <c r="B4" s="12">
        <v>7.0</v>
      </c>
      <c r="C4" s="12" t="s">
        <v>22</v>
      </c>
    </row>
    <row r="5">
      <c r="A5" s="11" t="s">
        <v>24</v>
      </c>
      <c r="B5" s="12">
        <v>7.0</v>
      </c>
      <c r="C5" s="12" t="s">
        <v>25</v>
      </c>
    </row>
    <row r="6">
      <c r="A6" s="11" t="s">
        <v>26</v>
      </c>
      <c r="B6" s="12">
        <v>5.0</v>
      </c>
      <c r="C6" s="12" t="s">
        <v>25</v>
      </c>
    </row>
    <row r="7">
      <c r="A7" s="11" t="s">
        <v>27</v>
      </c>
      <c r="B7" s="12">
        <v>7.0</v>
      </c>
      <c r="C7" s="12" t="s">
        <v>22</v>
      </c>
    </row>
    <row r="8">
      <c r="A8" s="11" t="s">
        <v>28</v>
      </c>
      <c r="B8" s="12">
        <v>7.0</v>
      </c>
      <c r="C8" s="12" t="s">
        <v>25</v>
      </c>
    </row>
    <row r="9">
      <c r="A9" s="11" t="s">
        <v>29</v>
      </c>
      <c r="B9" s="12">
        <v>7.0</v>
      </c>
      <c r="C9" s="12" t="s">
        <v>22</v>
      </c>
    </row>
    <row r="10">
      <c r="A10" s="11" t="s">
        <v>30</v>
      </c>
      <c r="B10" s="12">
        <v>8.0</v>
      </c>
      <c r="C10" s="12" t="s">
        <v>22</v>
      </c>
    </row>
    <row r="11">
      <c r="A11" s="11" t="s">
        <v>31</v>
      </c>
      <c r="B11" s="12">
        <v>8.0</v>
      </c>
      <c r="C11" s="12" t="s">
        <v>22</v>
      </c>
    </row>
    <row r="12">
      <c r="A12" s="11" t="s">
        <v>32</v>
      </c>
      <c r="B12" s="12">
        <v>8.0</v>
      </c>
      <c r="C12" s="12" t="s">
        <v>22</v>
      </c>
    </row>
    <row r="13">
      <c r="A13" s="11" t="s">
        <v>33</v>
      </c>
      <c r="B13" s="12">
        <v>8.0</v>
      </c>
      <c r="C13" s="12" t="s">
        <v>22</v>
      </c>
    </row>
    <row r="14">
      <c r="A14" s="11" t="s">
        <v>34</v>
      </c>
      <c r="B14" s="12">
        <v>5.0</v>
      </c>
      <c r="C14" s="12" t="s">
        <v>25</v>
      </c>
    </row>
    <row r="15">
      <c r="A15" s="11" t="s">
        <v>35</v>
      </c>
      <c r="B15" s="12">
        <v>7.0</v>
      </c>
      <c r="C15" s="12" t="s">
        <v>22</v>
      </c>
    </row>
    <row r="16">
      <c r="A16" s="11" t="s">
        <v>36</v>
      </c>
      <c r="B16" s="12">
        <v>6.0</v>
      </c>
      <c r="C16" s="12" t="s">
        <v>25</v>
      </c>
    </row>
    <row r="17">
      <c r="A17" s="11" t="s">
        <v>37</v>
      </c>
      <c r="B17" s="12">
        <v>8.0</v>
      </c>
      <c r="C17" s="12" t="s">
        <v>25</v>
      </c>
    </row>
    <row r="18">
      <c r="A18" s="11" t="s">
        <v>38</v>
      </c>
      <c r="B18" s="12">
        <v>5.0</v>
      </c>
      <c r="C18" s="12" t="s">
        <v>22</v>
      </c>
    </row>
    <row r="19">
      <c r="A19" s="11" t="s">
        <v>39</v>
      </c>
      <c r="B19" s="12">
        <v>7.0</v>
      </c>
      <c r="C19" s="12" t="s">
        <v>25</v>
      </c>
    </row>
    <row r="20">
      <c r="A20" s="11" t="s">
        <v>40</v>
      </c>
      <c r="B20" s="12">
        <v>6.0</v>
      </c>
      <c r="C20" s="12" t="s">
        <v>25</v>
      </c>
    </row>
    <row r="21" ht="15.75" customHeight="1">
      <c r="A21" s="11" t="s">
        <v>41</v>
      </c>
      <c r="B21" s="12">
        <v>5.0</v>
      </c>
      <c r="C21" s="12" t="s">
        <v>22</v>
      </c>
    </row>
    <row r="22" ht="15.75" customHeight="1">
      <c r="A22" s="11" t="s">
        <v>42</v>
      </c>
      <c r="B22" s="12">
        <v>7.0</v>
      </c>
      <c r="C22" s="12" t="s">
        <v>22</v>
      </c>
    </row>
    <row r="23" ht="15.75" customHeight="1">
      <c r="A23" s="11" t="s">
        <v>43</v>
      </c>
      <c r="B23" s="12">
        <v>5.0</v>
      </c>
      <c r="C23" s="12" t="s">
        <v>25</v>
      </c>
    </row>
    <row r="24" ht="15.75" customHeight="1">
      <c r="A24" s="11" t="s">
        <v>44</v>
      </c>
      <c r="B24" s="12">
        <v>7.0</v>
      </c>
      <c r="C24" s="12" t="s">
        <v>25</v>
      </c>
    </row>
    <row r="25" ht="15.75" customHeight="1">
      <c r="A25" s="11" t="s">
        <v>45</v>
      </c>
      <c r="B25" s="12">
        <v>8.0</v>
      </c>
      <c r="C25" s="12" t="s">
        <v>22</v>
      </c>
    </row>
    <row r="26" ht="15.75" customHeight="1">
      <c r="A26" s="11" t="s">
        <v>46</v>
      </c>
      <c r="B26" s="12">
        <v>5.0</v>
      </c>
      <c r="C26" s="12" t="s">
        <v>22</v>
      </c>
    </row>
    <row r="27" ht="15.75" customHeight="1">
      <c r="A27" s="11" t="s">
        <v>47</v>
      </c>
      <c r="B27" s="12">
        <v>5.0</v>
      </c>
      <c r="C27" s="12" t="s">
        <v>22</v>
      </c>
    </row>
    <row r="28" ht="15.75" customHeight="1">
      <c r="A28" s="11" t="s">
        <v>48</v>
      </c>
      <c r="B28" s="12">
        <v>8.0</v>
      </c>
      <c r="C28" s="12" t="s">
        <v>22</v>
      </c>
    </row>
    <row r="29" ht="15.75" customHeight="1">
      <c r="A29" s="11" t="s">
        <v>49</v>
      </c>
      <c r="B29" s="12">
        <v>8.0</v>
      </c>
      <c r="C29" s="12" t="s">
        <v>25</v>
      </c>
    </row>
    <row r="30" ht="15.75" customHeight="1">
      <c r="A30" s="11" t="s">
        <v>50</v>
      </c>
      <c r="B30" s="12">
        <v>7.0</v>
      </c>
      <c r="C30" s="12" t="s">
        <v>22</v>
      </c>
    </row>
    <row r="31" ht="15.75" customHeight="1">
      <c r="A31" s="11" t="s">
        <v>51</v>
      </c>
      <c r="B31" s="12">
        <v>6.0</v>
      </c>
      <c r="C31" s="12" t="s">
        <v>22</v>
      </c>
    </row>
    <row r="32" ht="15.75" customHeight="1">
      <c r="A32" s="11" t="s">
        <v>52</v>
      </c>
      <c r="B32" s="12">
        <v>8.0</v>
      </c>
      <c r="C32" s="12" t="s">
        <v>22</v>
      </c>
    </row>
    <row r="33" ht="15.75" customHeight="1">
      <c r="A33" s="11" t="s">
        <v>53</v>
      </c>
      <c r="B33" s="12">
        <v>5.0</v>
      </c>
      <c r="C33" s="12" t="s">
        <v>22</v>
      </c>
    </row>
    <row r="34" ht="15.75" customHeight="1">
      <c r="A34" s="11" t="s">
        <v>54</v>
      </c>
      <c r="B34" s="12">
        <v>6.0</v>
      </c>
      <c r="C34" s="12" t="s">
        <v>25</v>
      </c>
    </row>
    <row r="35" ht="15.75" customHeight="1">
      <c r="A35" s="11" t="s">
        <v>55</v>
      </c>
      <c r="B35" s="12">
        <v>6.0</v>
      </c>
      <c r="C35" s="12" t="s">
        <v>22</v>
      </c>
    </row>
    <row r="36" ht="15.75" customHeight="1">
      <c r="A36" s="11" t="s">
        <v>56</v>
      </c>
      <c r="B36" s="12">
        <v>5.0</v>
      </c>
      <c r="C36" s="12" t="s">
        <v>22</v>
      </c>
    </row>
    <row r="37" ht="15.75" customHeight="1">
      <c r="A37" s="11" t="s">
        <v>57</v>
      </c>
      <c r="B37" s="12">
        <v>6.0</v>
      </c>
      <c r="C37" s="12" t="s">
        <v>22</v>
      </c>
    </row>
    <row r="38" ht="15.75" customHeight="1">
      <c r="A38" s="11" t="s">
        <v>58</v>
      </c>
      <c r="B38" s="12">
        <v>7.0</v>
      </c>
      <c r="C38" s="12" t="s">
        <v>25</v>
      </c>
    </row>
    <row r="39" ht="15.75" customHeight="1">
      <c r="A39" s="11" t="s">
        <v>59</v>
      </c>
      <c r="B39" s="12">
        <v>8.0</v>
      </c>
      <c r="C39" s="12" t="s">
        <v>25</v>
      </c>
    </row>
    <row r="40" ht="15.75" customHeight="1">
      <c r="A40" s="11" t="s">
        <v>60</v>
      </c>
      <c r="B40" s="12">
        <v>6.0</v>
      </c>
      <c r="C40" s="12" t="s">
        <v>25</v>
      </c>
    </row>
    <row r="41" ht="15.75" customHeight="1">
      <c r="A41" s="11" t="s">
        <v>61</v>
      </c>
      <c r="B41" s="12">
        <v>7.0</v>
      </c>
      <c r="C41" s="12" t="s">
        <v>25</v>
      </c>
    </row>
    <row r="42" ht="15.75" customHeight="1">
      <c r="A42" s="11" t="s">
        <v>62</v>
      </c>
      <c r="B42" s="12">
        <v>5.0</v>
      </c>
      <c r="C42" s="12" t="s">
        <v>25</v>
      </c>
    </row>
    <row r="43" ht="15.75" customHeight="1">
      <c r="A43" s="11" t="s">
        <v>63</v>
      </c>
      <c r="B43" s="12">
        <v>5.0</v>
      </c>
      <c r="C43" s="12" t="s">
        <v>22</v>
      </c>
    </row>
    <row r="44" ht="15.75" customHeight="1">
      <c r="A44" s="11" t="s">
        <v>64</v>
      </c>
      <c r="B44" s="12">
        <v>7.0</v>
      </c>
      <c r="C44" s="12" t="s">
        <v>22</v>
      </c>
    </row>
    <row r="45" ht="15.75" customHeight="1">
      <c r="A45" s="11" t="s">
        <v>65</v>
      </c>
      <c r="B45" s="12">
        <v>5.0</v>
      </c>
      <c r="C45" s="12" t="s">
        <v>25</v>
      </c>
    </row>
    <row r="46" ht="15.75" customHeight="1">
      <c r="A46" s="11" t="s">
        <v>66</v>
      </c>
      <c r="B46" s="12">
        <v>7.0</v>
      </c>
      <c r="C46" s="13" t="s">
        <v>22</v>
      </c>
    </row>
    <row r="47" ht="15.75" customHeight="1">
      <c r="A47" s="11" t="s">
        <v>67</v>
      </c>
      <c r="B47" s="12">
        <v>8.0</v>
      </c>
      <c r="C47" s="12" t="s">
        <v>22</v>
      </c>
    </row>
    <row r="48" ht="15.75" customHeight="1">
      <c r="A48" s="11" t="s">
        <v>68</v>
      </c>
      <c r="B48" s="12">
        <v>5.0</v>
      </c>
      <c r="C48" s="12" t="s">
        <v>25</v>
      </c>
    </row>
    <row r="49" ht="15.75" customHeight="1">
      <c r="A49" s="11" t="s">
        <v>69</v>
      </c>
      <c r="B49" s="12">
        <v>7.0</v>
      </c>
      <c r="C49" s="12" t="s">
        <v>22</v>
      </c>
    </row>
    <row r="50" ht="15.75" customHeight="1">
      <c r="A50" s="11" t="s">
        <v>70</v>
      </c>
      <c r="B50" s="12">
        <v>5.0</v>
      </c>
      <c r="C50" s="12" t="s">
        <v>22</v>
      </c>
    </row>
    <row r="51" ht="15.75" customHeight="1">
      <c r="A51" s="11" t="s">
        <v>71</v>
      </c>
      <c r="B51" s="12">
        <v>8.0</v>
      </c>
      <c r="C51" s="12" t="s">
        <v>22</v>
      </c>
    </row>
    <row r="52" ht="15.75" customHeight="1">
      <c r="A52" s="11" t="s">
        <v>72</v>
      </c>
      <c r="B52" s="12">
        <v>5.0</v>
      </c>
      <c r="C52" s="12" t="s">
        <v>25</v>
      </c>
    </row>
    <row r="53" ht="15.75" customHeight="1">
      <c r="A53" s="11" t="s">
        <v>73</v>
      </c>
      <c r="B53" s="12">
        <v>6.0</v>
      </c>
      <c r="C53" s="12" t="s">
        <v>22</v>
      </c>
    </row>
    <row r="54" ht="15.75" customHeight="1">
      <c r="A54" s="11" t="s">
        <v>74</v>
      </c>
      <c r="B54" s="12">
        <v>8.0</v>
      </c>
      <c r="C54" s="12" t="s">
        <v>25</v>
      </c>
    </row>
    <row r="55" ht="15.75" customHeight="1">
      <c r="A55" s="11" t="s">
        <v>75</v>
      </c>
      <c r="B55" s="12">
        <v>7.0</v>
      </c>
      <c r="C55" s="12" t="s">
        <v>22</v>
      </c>
    </row>
    <row r="56" ht="15.75" customHeight="1">
      <c r="A56" s="11" t="s">
        <v>76</v>
      </c>
      <c r="B56" s="12">
        <v>7.0</v>
      </c>
      <c r="C56" s="12" t="s">
        <v>22</v>
      </c>
    </row>
    <row r="57" ht="15.75" customHeight="1">
      <c r="A57" s="11" t="s">
        <v>77</v>
      </c>
      <c r="B57" s="12">
        <v>5.0</v>
      </c>
      <c r="C57" s="12" t="s">
        <v>22</v>
      </c>
    </row>
    <row r="58" ht="15.75" customHeight="1">
      <c r="A58" s="11" t="s">
        <v>78</v>
      </c>
      <c r="B58" s="12">
        <v>5.0</v>
      </c>
      <c r="C58" s="12" t="s">
        <v>22</v>
      </c>
    </row>
    <row r="59" ht="15.75" customHeight="1">
      <c r="A59" s="11"/>
      <c r="B59" s="11"/>
      <c r="C59" s="11"/>
    </row>
    <row r="60" ht="15.75" customHeight="1">
      <c r="A60" s="11"/>
      <c r="B60" s="11"/>
      <c r="C60" s="11"/>
    </row>
    <row r="61" ht="15.75" customHeight="1">
      <c r="A61" s="11"/>
      <c r="B61" s="11"/>
      <c r="C61" s="11"/>
    </row>
    <row r="62" ht="15.75" customHeight="1">
      <c r="A62" s="11"/>
      <c r="B62" s="11"/>
      <c r="C62" s="11"/>
    </row>
    <row r="63" ht="15.75" customHeight="1">
      <c r="A63" s="11"/>
      <c r="B63" s="11"/>
      <c r="C63" s="11"/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ataValidations>
    <dataValidation type="list" allowBlank="1" sqref="B3:B63">
      <formula1>"5,6,7,8"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26.0"/>
    <col customWidth="1" min="2" max="2" width="7.0"/>
    <col customWidth="1" min="3" max="6" width="18.0"/>
    <col customWidth="1" min="7" max="7" width="9.0"/>
    <col customWidth="1" min="8" max="8" width="54.71"/>
    <col customWidth="1" min="9" max="26" width="8.71"/>
  </cols>
  <sheetData>
    <row r="1" ht="21.75" customHeight="1">
      <c r="A1" s="7" t="s">
        <v>79</v>
      </c>
      <c r="B1" s="8"/>
      <c r="C1" s="8"/>
      <c r="D1" s="8"/>
      <c r="E1" s="8"/>
      <c r="F1" s="8"/>
      <c r="G1" s="8"/>
      <c r="H1" s="9"/>
    </row>
    <row r="2">
      <c r="A2" s="14" t="s">
        <v>80</v>
      </c>
      <c r="B2" s="9"/>
      <c r="C2" s="14" t="s">
        <v>81</v>
      </c>
      <c r="D2" s="8"/>
      <c r="E2" s="8"/>
      <c r="F2" s="9"/>
      <c r="G2" s="14" t="s">
        <v>82</v>
      </c>
      <c r="H2" s="9"/>
    </row>
    <row r="3" ht="78.0" customHeight="1">
      <c r="A3" s="10" t="s">
        <v>18</v>
      </c>
      <c r="B3" s="10" t="s">
        <v>19</v>
      </c>
      <c r="C3" s="10" t="s">
        <v>83</v>
      </c>
      <c r="D3" s="10" t="s">
        <v>84</v>
      </c>
      <c r="E3" s="10" t="s">
        <v>85</v>
      </c>
      <c r="F3" s="10" t="s">
        <v>86</v>
      </c>
      <c r="G3" s="15" t="s">
        <v>87</v>
      </c>
      <c r="H3" s="15" t="s">
        <v>88</v>
      </c>
    </row>
    <row r="4">
      <c r="A4" s="11" t="str">
        <f>IF(Roster!A3="","",Roster!A3)</f>
        <v>Reuben Addington</v>
      </c>
      <c r="B4" s="12">
        <f>IF(Roster!B3="","",Roster!B3)</f>
        <v>6</v>
      </c>
      <c r="C4" s="13" t="s">
        <v>89</v>
      </c>
      <c r="D4" s="13" t="s">
        <v>89</v>
      </c>
      <c r="E4" s="13" t="s">
        <v>89</v>
      </c>
      <c r="F4" s="13" t="s">
        <v>89</v>
      </c>
      <c r="G4" s="16">
        <f t="shared" ref="G4:G64" si="1">IF(A4="","",COUNTIF(C4:F4,"Yes"))</f>
        <v>4</v>
      </c>
      <c r="H4" s="17"/>
    </row>
    <row r="5">
      <c r="A5" s="11" t="str">
        <f>IF(Roster!A4="","",Roster!A4)</f>
        <v>Cole Beaudry</v>
      </c>
      <c r="B5" s="12">
        <f>IF(Roster!B4="","",Roster!B4)</f>
        <v>7</v>
      </c>
      <c r="C5" s="12"/>
      <c r="D5" s="12"/>
      <c r="E5" s="12"/>
      <c r="F5" s="12"/>
      <c r="G5" s="16">
        <f t="shared" si="1"/>
        <v>0</v>
      </c>
      <c r="H5" s="17"/>
    </row>
    <row r="6">
      <c r="A6" s="11" t="str">
        <f>IF(Roster!A5="","",Roster!A5)</f>
        <v>Keva Bowron</v>
      </c>
      <c r="B6" s="12">
        <f>IF(Roster!B5="","",Roster!B5)</f>
        <v>7</v>
      </c>
      <c r="C6" s="13" t="s">
        <v>89</v>
      </c>
      <c r="D6" s="13" t="s">
        <v>89</v>
      </c>
      <c r="E6" s="13" t="s">
        <v>89</v>
      </c>
      <c r="F6" s="13" t="s">
        <v>90</v>
      </c>
      <c r="G6" s="16">
        <f t="shared" si="1"/>
        <v>3</v>
      </c>
      <c r="H6" s="18" t="s">
        <v>91</v>
      </c>
    </row>
    <row r="7">
      <c r="A7" s="11" t="str">
        <f>IF(Roster!A6="","",Roster!A6)</f>
        <v>Teagan Bowron</v>
      </c>
      <c r="B7" s="12">
        <f>IF(Roster!B6="","",Roster!B6)</f>
        <v>5</v>
      </c>
      <c r="C7" s="12"/>
      <c r="D7" s="13" t="s">
        <v>89</v>
      </c>
      <c r="E7" s="12"/>
      <c r="F7" s="13" t="s">
        <v>90</v>
      </c>
      <c r="G7" s="16">
        <f t="shared" si="1"/>
        <v>1</v>
      </c>
      <c r="H7" s="18" t="s">
        <v>92</v>
      </c>
    </row>
    <row r="8">
      <c r="A8" s="11" t="str">
        <f>IF(Roster!A7="","",Roster!A7)</f>
        <v>Liam Bursell</v>
      </c>
      <c r="B8" s="12">
        <f>IF(Roster!B7="","",Roster!B7)</f>
        <v>7</v>
      </c>
      <c r="C8" s="12"/>
      <c r="D8" s="12"/>
      <c r="E8" s="12"/>
      <c r="F8" s="12"/>
      <c r="G8" s="16">
        <f t="shared" si="1"/>
        <v>0</v>
      </c>
      <c r="H8" s="17"/>
    </row>
    <row r="9">
      <c r="A9" s="11" t="str">
        <f>IF(Roster!A8="","",Roster!A8)</f>
        <v>Mila Bursell</v>
      </c>
      <c r="B9" s="12">
        <f>IF(Roster!B8="","",Roster!B8)</f>
        <v>7</v>
      </c>
      <c r="C9" s="12"/>
      <c r="D9" s="12"/>
      <c r="E9" s="12"/>
      <c r="F9" s="12"/>
      <c r="G9" s="16">
        <f t="shared" si="1"/>
        <v>0</v>
      </c>
      <c r="H9" s="17"/>
    </row>
    <row r="10">
      <c r="A10" s="11" t="str">
        <f>IF(Roster!A9="","",Roster!A9)</f>
        <v>Grayson Chon</v>
      </c>
      <c r="B10" s="12">
        <f>IF(Roster!B9="","",Roster!B9)</f>
        <v>7</v>
      </c>
      <c r="C10" s="12"/>
      <c r="D10" s="12"/>
      <c r="E10" s="13" t="s">
        <v>90</v>
      </c>
      <c r="F10" s="13" t="s">
        <v>89</v>
      </c>
      <c r="G10" s="16">
        <f t="shared" si="1"/>
        <v>1</v>
      </c>
      <c r="H10" s="17"/>
    </row>
    <row r="11">
      <c r="A11" s="11" t="str">
        <f>IF(Roster!A10="","",Roster!A10)</f>
        <v>Cooper Coblentz</v>
      </c>
      <c r="B11" s="12">
        <f>IF(Roster!B10="","",Roster!B10)</f>
        <v>8</v>
      </c>
      <c r="C11" s="13" t="s">
        <v>89</v>
      </c>
      <c r="D11" s="13" t="s">
        <v>89</v>
      </c>
      <c r="E11" s="13" t="s">
        <v>90</v>
      </c>
      <c r="F11" s="12"/>
      <c r="G11" s="16">
        <f t="shared" si="1"/>
        <v>2</v>
      </c>
      <c r="H11" s="17"/>
    </row>
    <row r="12">
      <c r="A12" s="11" t="str">
        <f>IF(Roster!A11="","",Roster!A11)</f>
        <v>Hudson Coblentz</v>
      </c>
      <c r="B12" s="12">
        <f>IF(Roster!B11="","",Roster!B11)</f>
        <v>8</v>
      </c>
      <c r="C12" s="13" t="s">
        <v>89</v>
      </c>
      <c r="D12" s="13" t="s">
        <v>89</v>
      </c>
      <c r="E12" s="13" t="s">
        <v>90</v>
      </c>
      <c r="F12" s="12"/>
      <c r="G12" s="16">
        <f t="shared" si="1"/>
        <v>2</v>
      </c>
      <c r="H12" s="17"/>
    </row>
    <row r="13">
      <c r="A13" s="11" t="str">
        <f>IF(Roster!A12="","",Roster!A12)</f>
        <v>Nathan Coblentz</v>
      </c>
      <c r="B13" s="12">
        <f>IF(Roster!B12="","",Roster!B12)</f>
        <v>8</v>
      </c>
      <c r="C13" s="13" t="s">
        <v>89</v>
      </c>
      <c r="D13" s="13" t="s">
        <v>89</v>
      </c>
      <c r="E13" s="13" t="s">
        <v>90</v>
      </c>
      <c r="F13" s="12"/>
      <c r="G13" s="16">
        <f t="shared" si="1"/>
        <v>2</v>
      </c>
      <c r="H13" s="17"/>
    </row>
    <row r="14">
      <c r="A14" s="11" t="str">
        <f>IF(Roster!A13="","",Roster!A13)</f>
        <v>Addis Demere</v>
      </c>
      <c r="B14" s="12">
        <f>IF(Roster!B13="","",Roster!B13)</f>
        <v>8</v>
      </c>
      <c r="C14" s="12"/>
      <c r="D14" s="12"/>
      <c r="E14" s="12"/>
      <c r="F14" s="12"/>
      <c r="G14" s="16">
        <f t="shared" si="1"/>
        <v>0</v>
      </c>
      <c r="H14" s="17"/>
    </row>
    <row r="15">
      <c r="A15" s="11" t="str">
        <f>IF(Roster!A14="","",Roster!A14)</f>
        <v>Amen Demere</v>
      </c>
      <c r="B15" s="12">
        <f>IF(Roster!B14="","",Roster!B14)</f>
        <v>5</v>
      </c>
      <c r="C15" s="12"/>
      <c r="D15" s="12"/>
      <c r="E15" s="12"/>
      <c r="F15" s="12"/>
      <c r="G15" s="16">
        <f t="shared" si="1"/>
        <v>0</v>
      </c>
      <c r="H15" s="17"/>
    </row>
    <row r="16">
      <c r="A16" s="11" t="str">
        <f>IF(Roster!A15="","",Roster!A15)</f>
        <v>Kai Dinger</v>
      </c>
      <c r="B16" s="12">
        <f>IF(Roster!B15="","",Roster!B15)</f>
        <v>7</v>
      </c>
      <c r="C16" s="13" t="s">
        <v>89</v>
      </c>
      <c r="D16" s="13" t="s">
        <v>89</v>
      </c>
      <c r="E16" s="13" t="s">
        <v>89</v>
      </c>
      <c r="F16" s="13" t="s">
        <v>90</v>
      </c>
      <c r="G16" s="16">
        <f t="shared" si="1"/>
        <v>3</v>
      </c>
      <c r="H16" s="17"/>
    </row>
    <row r="17">
      <c r="A17" s="11" t="str">
        <f>IF(Roster!A16="","",Roster!A16)</f>
        <v>Alexandra Ebinger</v>
      </c>
      <c r="B17" s="12">
        <f>IF(Roster!B16="","",Roster!B16)</f>
        <v>6</v>
      </c>
      <c r="C17" s="13" t="s">
        <v>89</v>
      </c>
      <c r="D17" s="13" t="s">
        <v>90</v>
      </c>
      <c r="E17" s="13" t="s">
        <v>89</v>
      </c>
      <c r="F17" s="13" t="s">
        <v>90</v>
      </c>
      <c r="G17" s="16">
        <f t="shared" si="1"/>
        <v>2</v>
      </c>
      <c r="H17" s="17"/>
    </row>
    <row r="18">
      <c r="A18" s="11" t="str">
        <f>IF(Roster!A17="","",Roster!A17)</f>
        <v>Cora Ebinger</v>
      </c>
      <c r="B18" s="12">
        <f>IF(Roster!B17="","",Roster!B17)</f>
        <v>8</v>
      </c>
      <c r="C18" s="13" t="s">
        <v>90</v>
      </c>
      <c r="D18" s="13" t="s">
        <v>90</v>
      </c>
      <c r="E18" s="13" t="s">
        <v>90</v>
      </c>
      <c r="F18" s="13" t="s">
        <v>90</v>
      </c>
      <c r="G18" s="16">
        <f t="shared" si="1"/>
        <v>0</v>
      </c>
      <c r="H18" s="17"/>
    </row>
    <row r="19">
      <c r="A19" s="11" t="str">
        <f>IF(Roster!A18="","",Roster!A18)</f>
        <v>Jace Euphosin</v>
      </c>
      <c r="B19" s="12">
        <f>IF(Roster!B18="","",Roster!B18)</f>
        <v>5</v>
      </c>
      <c r="C19" s="13" t="s">
        <v>90</v>
      </c>
      <c r="D19" s="13" t="s">
        <v>89</v>
      </c>
      <c r="E19" s="12"/>
      <c r="F19" s="13" t="s">
        <v>89</v>
      </c>
      <c r="G19" s="16">
        <f t="shared" si="1"/>
        <v>2</v>
      </c>
      <c r="H19" s="17"/>
    </row>
    <row r="20">
      <c r="A20" s="11" t="str">
        <f>IF(Roster!A19="","",Roster!A19)</f>
        <v>Althea Bortel Fielder</v>
      </c>
      <c r="B20" s="12">
        <f>IF(Roster!B19="","",Roster!B19)</f>
        <v>7</v>
      </c>
      <c r="C20" s="13" t="s">
        <v>89</v>
      </c>
      <c r="D20" s="13" t="s">
        <v>89</v>
      </c>
      <c r="E20" s="12"/>
      <c r="F20" s="12"/>
      <c r="G20" s="16">
        <f t="shared" si="1"/>
        <v>2</v>
      </c>
      <c r="H20" s="17"/>
    </row>
    <row r="21" ht="15.75" customHeight="1">
      <c r="A21" s="11" t="str">
        <f>IF(Roster!A20="","",Roster!A20)</f>
        <v>Elyse Folbrecht</v>
      </c>
      <c r="B21" s="12">
        <f>IF(Roster!B20="","",Roster!B20)</f>
        <v>6</v>
      </c>
      <c r="C21" s="13" t="s">
        <v>89</v>
      </c>
      <c r="D21" s="13" t="s">
        <v>89</v>
      </c>
      <c r="E21" s="13" t="s">
        <v>89</v>
      </c>
      <c r="F21" s="13" t="s">
        <v>89</v>
      </c>
      <c r="G21" s="16">
        <f t="shared" si="1"/>
        <v>4</v>
      </c>
      <c r="H21" s="17"/>
    </row>
    <row r="22" ht="15.75" customHeight="1">
      <c r="A22" s="11" t="str">
        <f>IF(Roster!A21="","",Roster!A21)</f>
        <v>Walter Folbrecht</v>
      </c>
      <c r="B22" s="12">
        <f>IF(Roster!B21="","",Roster!B21)</f>
        <v>5</v>
      </c>
      <c r="C22" s="12"/>
      <c r="D22" s="13" t="s">
        <v>89</v>
      </c>
      <c r="E22" s="12"/>
      <c r="F22" s="13" t="s">
        <v>89</v>
      </c>
      <c r="G22" s="16">
        <f t="shared" si="1"/>
        <v>2</v>
      </c>
      <c r="H22" s="17"/>
    </row>
    <row r="23" ht="15.75" customHeight="1">
      <c r="A23" s="11" t="str">
        <f>IF(Roster!A22="","",Roster!A22)</f>
        <v>Remy Fortin</v>
      </c>
      <c r="B23" s="12">
        <f>IF(Roster!B22="","",Roster!B22)</f>
        <v>7</v>
      </c>
      <c r="C23" s="13" t="s">
        <v>89</v>
      </c>
      <c r="D23" s="13" t="s">
        <v>89</v>
      </c>
      <c r="E23" s="13" t="s">
        <v>89</v>
      </c>
      <c r="F23" s="13" t="s">
        <v>90</v>
      </c>
      <c r="G23" s="16">
        <f t="shared" si="1"/>
        <v>3</v>
      </c>
      <c r="H23" s="17"/>
    </row>
    <row r="24" ht="15.75" customHeight="1">
      <c r="A24" s="11" t="str">
        <f>IF(Roster!A23="","",Roster!A23)</f>
        <v>Gabriella Gruber</v>
      </c>
      <c r="B24" s="12">
        <f>IF(Roster!B23="","",Roster!B23)</f>
        <v>5</v>
      </c>
      <c r="C24" s="13" t="s">
        <v>90</v>
      </c>
      <c r="D24" s="13" t="s">
        <v>89</v>
      </c>
      <c r="E24" s="13" t="s">
        <v>90</v>
      </c>
      <c r="F24" s="13" t="s">
        <v>89</v>
      </c>
      <c r="G24" s="16">
        <f t="shared" si="1"/>
        <v>2</v>
      </c>
      <c r="H24" s="17"/>
    </row>
    <row r="25" ht="15.75" customHeight="1">
      <c r="A25" s="11" t="str">
        <f>IF(Roster!A24="","",Roster!A24)</f>
        <v>Vienna Haas</v>
      </c>
      <c r="B25" s="12">
        <f>IF(Roster!B24="","",Roster!B24)</f>
        <v>7</v>
      </c>
      <c r="C25" s="13" t="s">
        <v>89</v>
      </c>
      <c r="D25" s="13" t="s">
        <v>89</v>
      </c>
      <c r="E25" s="13" t="s">
        <v>89</v>
      </c>
      <c r="F25" s="13" t="s">
        <v>90</v>
      </c>
      <c r="G25" s="16">
        <f t="shared" si="1"/>
        <v>3</v>
      </c>
      <c r="H25" s="18" t="s">
        <v>93</v>
      </c>
    </row>
    <row r="26" ht="15.75" customHeight="1">
      <c r="A26" s="11" t="str">
        <f>IF(Roster!A25="","",Roster!A25)</f>
        <v>Aedan Herman</v>
      </c>
      <c r="B26" s="12">
        <f>IF(Roster!B25="","",Roster!B25)</f>
        <v>8</v>
      </c>
      <c r="C26" s="12"/>
      <c r="D26" s="12"/>
      <c r="E26" s="12"/>
      <c r="F26" s="13" t="s">
        <v>90</v>
      </c>
      <c r="G26" s="16">
        <f t="shared" si="1"/>
        <v>0</v>
      </c>
      <c r="H26" s="17"/>
    </row>
    <row r="27" ht="15.75" customHeight="1">
      <c r="A27" s="11" t="str">
        <f>IF(Roster!A26="","",Roster!A26)</f>
        <v>Louie Herman</v>
      </c>
      <c r="B27" s="12">
        <f>IF(Roster!B26="","",Roster!B26)</f>
        <v>5</v>
      </c>
      <c r="C27" s="12"/>
      <c r="D27" s="13" t="s">
        <v>90</v>
      </c>
      <c r="E27" s="12"/>
      <c r="F27" s="13" t="s">
        <v>89</v>
      </c>
      <c r="G27" s="16">
        <f t="shared" si="1"/>
        <v>1</v>
      </c>
      <c r="H27" s="17"/>
    </row>
    <row r="28" ht="15.75" customHeight="1">
      <c r="A28" s="11" t="str">
        <f>IF(Roster!A27="","",Roster!A27)</f>
        <v>Jasper Hill</v>
      </c>
      <c r="B28" s="12">
        <f>IF(Roster!B27="","",Roster!B27)</f>
        <v>5</v>
      </c>
      <c r="C28" s="13" t="s">
        <v>90</v>
      </c>
      <c r="D28" s="13" t="s">
        <v>90</v>
      </c>
      <c r="E28" s="13" t="s">
        <v>90</v>
      </c>
      <c r="F28" s="13" t="s">
        <v>90</v>
      </c>
      <c r="G28" s="16">
        <f t="shared" si="1"/>
        <v>0</v>
      </c>
      <c r="H28" s="17"/>
    </row>
    <row r="29" ht="15.75" customHeight="1">
      <c r="A29" s="11" t="str">
        <f>IF(Roster!A28="","",Roster!A28)</f>
        <v>Ben Hinrichs</v>
      </c>
      <c r="B29" s="12">
        <f>IF(Roster!B28="","",Roster!B28)</f>
        <v>8</v>
      </c>
      <c r="C29" s="13" t="s">
        <v>90</v>
      </c>
      <c r="D29" s="13" t="s">
        <v>90</v>
      </c>
      <c r="E29" s="13" t="s">
        <v>89</v>
      </c>
      <c r="F29" s="13" t="s">
        <v>89</v>
      </c>
      <c r="G29" s="16">
        <f t="shared" si="1"/>
        <v>2</v>
      </c>
      <c r="H29" s="17"/>
    </row>
    <row r="30" ht="15.75" customHeight="1">
      <c r="A30" s="11" t="str">
        <f>IF(Roster!A29="","",Roster!A29)</f>
        <v>Sage Houdek</v>
      </c>
      <c r="B30" s="12">
        <f>IF(Roster!B29="","",Roster!B29)</f>
        <v>8</v>
      </c>
      <c r="C30" s="13" t="s">
        <v>89</v>
      </c>
      <c r="D30" s="13" t="s">
        <v>90</v>
      </c>
      <c r="E30" s="13" t="s">
        <v>89</v>
      </c>
      <c r="F30" s="13" t="s">
        <v>90</v>
      </c>
      <c r="G30" s="16">
        <f t="shared" si="1"/>
        <v>2</v>
      </c>
      <c r="H30" s="18" t="s">
        <v>94</v>
      </c>
    </row>
    <row r="31" ht="15.75" customHeight="1">
      <c r="A31" s="11" t="str">
        <f>IF(Roster!A30="","",Roster!A30)</f>
        <v>Ari Klapperich-Khuu</v>
      </c>
      <c r="B31" s="12">
        <f>IF(Roster!B30="","",Roster!B30)</f>
        <v>7</v>
      </c>
      <c r="C31" s="12"/>
      <c r="D31" s="13" t="s">
        <v>89</v>
      </c>
      <c r="E31" s="13" t="s">
        <v>89</v>
      </c>
      <c r="F31" s="13" t="s">
        <v>90</v>
      </c>
      <c r="G31" s="16">
        <f t="shared" si="1"/>
        <v>2</v>
      </c>
      <c r="H31" s="18"/>
    </row>
    <row r="32" ht="15.75" customHeight="1">
      <c r="A32" s="11" t="str">
        <f>IF(Roster!A31="","",Roster!A31)</f>
        <v>Marcus Kunc</v>
      </c>
      <c r="B32" s="12">
        <f>IF(Roster!B31="","",Roster!B31)</f>
        <v>6</v>
      </c>
      <c r="C32" s="13" t="s">
        <v>89</v>
      </c>
      <c r="D32" s="13" t="s">
        <v>90</v>
      </c>
      <c r="E32" s="13" t="s">
        <v>89</v>
      </c>
      <c r="F32" s="13" t="s">
        <v>90</v>
      </c>
      <c r="G32" s="16">
        <f t="shared" si="1"/>
        <v>2</v>
      </c>
      <c r="H32" s="17"/>
    </row>
    <row r="33" ht="15.75" customHeight="1">
      <c r="A33" s="11" t="str">
        <f>IF(Roster!A32="","",Roster!A32)</f>
        <v>Mattias Kunc</v>
      </c>
      <c r="B33" s="12">
        <f>IF(Roster!B32="","",Roster!B32)</f>
        <v>8</v>
      </c>
      <c r="C33" s="13" t="s">
        <v>89</v>
      </c>
      <c r="D33" s="13" t="s">
        <v>90</v>
      </c>
      <c r="E33" s="13" t="s">
        <v>89</v>
      </c>
      <c r="F33" s="13" t="s">
        <v>90</v>
      </c>
      <c r="G33" s="16">
        <f t="shared" si="1"/>
        <v>2</v>
      </c>
      <c r="H33" s="17"/>
    </row>
    <row r="34" ht="15.75" customHeight="1">
      <c r="A34" s="11" t="str">
        <f>IF(Roster!A33="","",Roster!A33)</f>
        <v>Avinash Landahl</v>
      </c>
      <c r="B34" s="12">
        <f>IF(Roster!B33="","",Roster!B33)</f>
        <v>5</v>
      </c>
      <c r="C34" s="12"/>
      <c r="D34" s="12"/>
      <c r="E34" s="12"/>
      <c r="F34" s="12"/>
      <c r="G34" s="16">
        <f t="shared" si="1"/>
        <v>0</v>
      </c>
      <c r="H34" s="17"/>
    </row>
    <row r="35" ht="15.75" customHeight="1">
      <c r="A35" s="11" t="str">
        <f>IF(Roster!A34="","",Roster!A34)</f>
        <v>Perrin Light-Haberstroh</v>
      </c>
      <c r="B35" s="12">
        <f>IF(Roster!B34="","",Roster!B34)</f>
        <v>6</v>
      </c>
      <c r="C35" s="12"/>
      <c r="D35" s="13" t="s">
        <v>90</v>
      </c>
      <c r="E35" s="12"/>
      <c r="F35" s="12"/>
      <c r="G35" s="16">
        <f t="shared" si="1"/>
        <v>0</v>
      </c>
      <c r="H35" s="17"/>
    </row>
    <row r="36" ht="15.75" customHeight="1">
      <c r="A36" s="11" t="str">
        <f>IF(Roster!A35="","",Roster!A35)</f>
        <v>Devin Lindquist</v>
      </c>
      <c r="B36" s="12">
        <f>IF(Roster!B35="","",Roster!B35)</f>
        <v>6</v>
      </c>
      <c r="C36" s="12"/>
      <c r="D36" s="12"/>
      <c r="E36" s="12"/>
      <c r="F36" s="12"/>
      <c r="G36" s="16">
        <f t="shared" si="1"/>
        <v>0</v>
      </c>
      <c r="H36" s="17"/>
    </row>
    <row r="37" ht="15.75" customHeight="1">
      <c r="A37" s="11" t="str">
        <f>IF(Roster!A36="","",Roster!A36)</f>
        <v>Brighton Balk Mmary</v>
      </c>
      <c r="B37" s="12">
        <f>IF(Roster!B36="","",Roster!B36)</f>
        <v>5</v>
      </c>
      <c r="C37" s="12"/>
      <c r="D37" s="13" t="s">
        <v>89</v>
      </c>
      <c r="E37" s="12"/>
      <c r="F37" s="13" t="s">
        <v>89</v>
      </c>
      <c r="G37" s="16">
        <f t="shared" si="1"/>
        <v>2</v>
      </c>
      <c r="H37" s="17"/>
    </row>
    <row r="38" ht="15.75" customHeight="1">
      <c r="A38" s="11" t="str">
        <f>IF(Roster!A37="","",Roster!A37)</f>
        <v>Gabriel Nowariak</v>
      </c>
      <c r="B38" s="12">
        <f>IF(Roster!B37="","",Roster!B37)</f>
        <v>6</v>
      </c>
      <c r="C38" s="13" t="s">
        <v>90</v>
      </c>
      <c r="D38" s="13" t="s">
        <v>89</v>
      </c>
      <c r="E38" s="13" t="s">
        <v>89</v>
      </c>
      <c r="F38" s="13" t="s">
        <v>90</v>
      </c>
      <c r="G38" s="16">
        <f t="shared" si="1"/>
        <v>2</v>
      </c>
      <c r="H38" s="17"/>
    </row>
    <row r="39" ht="15.75" customHeight="1">
      <c r="A39" s="11" t="str">
        <f>IF(Roster!A38="","",Roster!A38)</f>
        <v>Annika Peterson</v>
      </c>
      <c r="B39" s="12">
        <f>IF(Roster!B38="","",Roster!B38)</f>
        <v>7</v>
      </c>
      <c r="C39" s="13" t="s">
        <v>89</v>
      </c>
      <c r="D39" s="13" t="s">
        <v>89</v>
      </c>
      <c r="E39" s="13" t="s">
        <v>89</v>
      </c>
      <c r="F39" s="13" t="s">
        <v>90</v>
      </c>
      <c r="G39" s="16">
        <f t="shared" si="1"/>
        <v>3</v>
      </c>
      <c r="H39" s="17"/>
    </row>
    <row r="40" ht="15.75" customHeight="1">
      <c r="A40" s="11" t="str">
        <f>IF(Roster!A39="","",Roster!A39)</f>
        <v>Cailee Pham</v>
      </c>
      <c r="B40" s="12">
        <f>IF(Roster!B39="","",Roster!B39)</f>
        <v>8</v>
      </c>
      <c r="C40" s="12"/>
      <c r="D40" s="12"/>
      <c r="E40" s="12"/>
      <c r="F40" s="12"/>
      <c r="G40" s="16">
        <f t="shared" si="1"/>
        <v>0</v>
      </c>
      <c r="H40" s="17"/>
    </row>
    <row r="41" ht="15.75" customHeight="1">
      <c r="A41" s="11" t="str">
        <f>IF(Roster!A40="","",Roster!A40)</f>
        <v>Amelia Roddy</v>
      </c>
      <c r="B41" s="12">
        <f>IF(Roster!B40="","",Roster!B40)</f>
        <v>6</v>
      </c>
      <c r="C41" s="13" t="s">
        <v>89</v>
      </c>
      <c r="D41" s="13" t="s">
        <v>90</v>
      </c>
      <c r="E41" s="13" t="s">
        <v>89</v>
      </c>
      <c r="F41" s="13" t="s">
        <v>89</v>
      </c>
      <c r="G41" s="16">
        <f t="shared" si="1"/>
        <v>3</v>
      </c>
      <c r="H41" s="17"/>
    </row>
    <row r="42" ht="15.75" customHeight="1">
      <c r="A42" s="11" t="str">
        <f>IF(Roster!A41="","",Roster!A41)</f>
        <v>Audrey Roffe</v>
      </c>
      <c r="B42" s="12">
        <f>IF(Roster!B41="","",Roster!B41)</f>
        <v>7</v>
      </c>
      <c r="C42" s="12"/>
      <c r="D42" s="13" t="s">
        <v>89</v>
      </c>
      <c r="E42" s="13" t="s">
        <v>89</v>
      </c>
      <c r="F42" s="13" t="s">
        <v>90</v>
      </c>
      <c r="G42" s="16">
        <f t="shared" si="1"/>
        <v>2</v>
      </c>
      <c r="H42" s="17"/>
    </row>
    <row r="43" ht="15.75" customHeight="1">
      <c r="A43" s="11" t="str">
        <f>IF(Roster!A42="","",Roster!A42)</f>
        <v>Liv Romsaas</v>
      </c>
      <c r="B43" s="12">
        <f>IF(Roster!B42="","",Roster!B42)</f>
        <v>5</v>
      </c>
      <c r="C43" s="12"/>
      <c r="D43" s="13" t="s">
        <v>90</v>
      </c>
      <c r="E43" s="12"/>
      <c r="F43" s="13" t="s">
        <v>89</v>
      </c>
      <c r="G43" s="16">
        <f t="shared" si="1"/>
        <v>1</v>
      </c>
      <c r="H43" s="17"/>
    </row>
    <row r="44" ht="15.75" customHeight="1">
      <c r="A44" s="11" t="str">
        <f>IF(Roster!A43="","",Roster!A43)</f>
        <v>Frank Ryan</v>
      </c>
      <c r="B44" s="12">
        <f>IF(Roster!B43="","",Roster!B43)</f>
        <v>5</v>
      </c>
      <c r="C44" s="12"/>
      <c r="D44" s="13" t="s">
        <v>89</v>
      </c>
      <c r="E44" s="12"/>
      <c r="F44" s="13" t="s">
        <v>89</v>
      </c>
      <c r="G44" s="16">
        <f t="shared" si="1"/>
        <v>2</v>
      </c>
      <c r="H44" s="17"/>
    </row>
    <row r="45" ht="15.75" customHeight="1">
      <c r="A45" s="11" t="str">
        <f>IF(Roster!A44="","",Roster!A44)</f>
        <v>Louis Ryan</v>
      </c>
      <c r="B45" s="12">
        <f>IF(Roster!B44="","",Roster!B44)</f>
        <v>7</v>
      </c>
      <c r="C45" s="13" t="s">
        <v>89</v>
      </c>
      <c r="D45" s="13" t="s">
        <v>89</v>
      </c>
      <c r="E45" s="13" t="s">
        <v>89</v>
      </c>
      <c r="F45" s="13" t="s">
        <v>90</v>
      </c>
      <c r="G45" s="16">
        <f t="shared" si="1"/>
        <v>3</v>
      </c>
      <c r="H45" s="17"/>
    </row>
    <row r="46" ht="15.75" customHeight="1">
      <c r="A46" s="11" t="str">
        <f>IF(Roster!A45="","",Roster!A45)</f>
        <v>Charlotte Saeger</v>
      </c>
      <c r="B46" s="12">
        <f>IF(Roster!B45="","",Roster!B45)</f>
        <v>5</v>
      </c>
      <c r="C46" s="13" t="s">
        <v>90</v>
      </c>
      <c r="D46" s="13" t="s">
        <v>90</v>
      </c>
      <c r="E46" s="13" t="s">
        <v>90</v>
      </c>
      <c r="F46" s="13" t="s">
        <v>89</v>
      </c>
      <c r="G46" s="16">
        <f t="shared" si="1"/>
        <v>1</v>
      </c>
      <c r="H46" s="17"/>
    </row>
    <row r="47" ht="15.75" customHeight="1">
      <c r="A47" s="11" t="str">
        <f>IF(Roster!A46="","",Roster!A46)</f>
        <v>Arya Sanaka</v>
      </c>
      <c r="B47" s="12">
        <f>IF(Roster!B46="","",Roster!B46)</f>
        <v>7</v>
      </c>
      <c r="C47" s="13" t="s">
        <v>90</v>
      </c>
      <c r="D47" s="13" t="s">
        <v>89</v>
      </c>
      <c r="E47" s="13" t="s">
        <v>89</v>
      </c>
      <c r="F47" s="13" t="s">
        <v>90</v>
      </c>
      <c r="G47" s="16">
        <f t="shared" si="1"/>
        <v>2</v>
      </c>
      <c r="H47" s="17"/>
    </row>
    <row r="48" ht="15.75" customHeight="1">
      <c r="A48" s="11" t="str">
        <f>IF(Roster!A47="","",Roster!A47)</f>
        <v>Leo Shu</v>
      </c>
      <c r="B48" s="12">
        <f>IF(Roster!B47="","",Roster!B47)</f>
        <v>8</v>
      </c>
      <c r="C48" s="13" t="s">
        <v>90</v>
      </c>
      <c r="D48" s="13" t="s">
        <v>89</v>
      </c>
      <c r="E48" s="13" t="s">
        <v>90</v>
      </c>
      <c r="F48" s="13" t="s">
        <v>90</v>
      </c>
      <c r="G48" s="16">
        <f t="shared" si="1"/>
        <v>1</v>
      </c>
      <c r="H48" s="18" t="s">
        <v>95</v>
      </c>
    </row>
    <row r="49" ht="15.75" customHeight="1">
      <c r="A49" s="11" t="str">
        <f>IF(Roster!A48="","",Roster!A48)</f>
        <v>Harper Stewart</v>
      </c>
      <c r="B49" s="12">
        <f>IF(Roster!B48="","",Roster!B48)</f>
        <v>5</v>
      </c>
      <c r="C49" s="12"/>
      <c r="D49" s="13" t="s">
        <v>89</v>
      </c>
      <c r="E49" s="12"/>
      <c r="F49" s="12"/>
      <c r="G49" s="16">
        <f t="shared" si="1"/>
        <v>1</v>
      </c>
      <c r="H49" s="17"/>
    </row>
    <row r="50" ht="15.75" customHeight="1">
      <c r="A50" s="11" t="str">
        <f>IF(Roster!A49="","",Roster!A49)</f>
        <v>Ben Surla</v>
      </c>
      <c r="B50" s="12">
        <f>IF(Roster!B49="","",Roster!B49)</f>
        <v>7</v>
      </c>
      <c r="C50" s="13" t="s">
        <v>89</v>
      </c>
      <c r="D50" s="13" t="s">
        <v>90</v>
      </c>
      <c r="E50" s="13" t="s">
        <v>89</v>
      </c>
      <c r="F50" s="13" t="s">
        <v>90</v>
      </c>
      <c r="G50" s="16">
        <f t="shared" si="1"/>
        <v>2</v>
      </c>
      <c r="H50" s="18" t="s">
        <v>96</v>
      </c>
    </row>
    <row r="51" ht="15.75" customHeight="1">
      <c r="A51" s="11" t="str">
        <f>IF(Roster!A50="","",Roster!A50)</f>
        <v>Otto Terhark</v>
      </c>
      <c r="B51" s="12">
        <f>IF(Roster!B50="","",Roster!B50)</f>
        <v>5</v>
      </c>
      <c r="C51" s="12"/>
      <c r="D51" s="13" t="s">
        <v>89</v>
      </c>
      <c r="E51" s="12"/>
      <c r="F51" s="13" t="s">
        <v>89</v>
      </c>
      <c r="G51" s="16">
        <f t="shared" si="1"/>
        <v>2</v>
      </c>
      <c r="H51" s="17"/>
    </row>
    <row r="52" ht="15.75" customHeight="1">
      <c r="A52" s="11" t="str">
        <f>IF(Roster!A51="","",Roster!A51)</f>
        <v>Jin Trenh</v>
      </c>
      <c r="B52" s="12">
        <f>IF(Roster!B51="","",Roster!B51)</f>
        <v>8</v>
      </c>
      <c r="C52" s="12"/>
      <c r="D52" s="13" t="s">
        <v>89</v>
      </c>
      <c r="E52" s="13" t="s">
        <v>89</v>
      </c>
      <c r="F52" s="13" t="s">
        <v>90</v>
      </c>
      <c r="G52" s="16">
        <f t="shared" si="1"/>
        <v>2</v>
      </c>
      <c r="H52" s="17"/>
    </row>
    <row r="53" ht="15.75" customHeight="1">
      <c r="A53" s="11" t="str">
        <f>IF(Roster!A52="","",Roster!A52)</f>
        <v>Thea Trenh</v>
      </c>
      <c r="B53" s="12">
        <f>IF(Roster!B52="","",Roster!B52)</f>
        <v>5</v>
      </c>
      <c r="C53" s="12"/>
      <c r="D53" s="13" t="s">
        <v>89</v>
      </c>
      <c r="E53" s="13" t="s">
        <v>90</v>
      </c>
      <c r="F53" s="12"/>
      <c r="G53" s="16">
        <f t="shared" si="1"/>
        <v>1</v>
      </c>
      <c r="H53" s="17"/>
    </row>
    <row r="54" ht="15.75" customHeight="1">
      <c r="A54" s="11" t="str">
        <f>IF(Roster!A53="","",Roster!A53)</f>
        <v>Ethan Tschida</v>
      </c>
      <c r="B54" s="12">
        <f>IF(Roster!B53="","",Roster!B53)</f>
        <v>6</v>
      </c>
      <c r="C54" s="13" t="s">
        <v>90</v>
      </c>
      <c r="D54" s="13" t="s">
        <v>89</v>
      </c>
      <c r="E54" s="13" t="s">
        <v>90</v>
      </c>
      <c r="F54" s="13" t="s">
        <v>89</v>
      </c>
      <c r="G54" s="16">
        <f t="shared" si="1"/>
        <v>2</v>
      </c>
      <c r="H54" s="17"/>
    </row>
    <row r="55" ht="15.75" customHeight="1">
      <c r="A55" s="11" t="str">
        <f>IF(Roster!A54="","",Roster!A54)</f>
        <v>Isabel Tschida</v>
      </c>
      <c r="B55" s="12">
        <f>IF(Roster!B54="","",Roster!B54)</f>
        <v>8</v>
      </c>
      <c r="C55" s="13" t="s">
        <v>90</v>
      </c>
      <c r="D55" s="13" t="s">
        <v>89</v>
      </c>
      <c r="E55" s="13" t="s">
        <v>90</v>
      </c>
      <c r="F55" s="13" t="s">
        <v>90</v>
      </c>
      <c r="G55" s="16">
        <f t="shared" si="1"/>
        <v>1</v>
      </c>
      <c r="H55" s="17"/>
    </row>
    <row r="56" ht="15.75" customHeight="1">
      <c r="A56" s="11" t="str">
        <f>IF(Roster!A55="","",Roster!A55)</f>
        <v>Caleb Wilson</v>
      </c>
      <c r="B56" s="12">
        <f>IF(Roster!B55="","",Roster!B55)</f>
        <v>7</v>
      </c>
      <c r="C56" s="13" t="s">
        <v>89</v>
      </c>
      <c r="D56" s="13" t="s">
        <v>89</v>
      </c>
      <c r="E56" s="13" t="s">
        <v>89</v>
      </c>
      <c r="F56" s="13" t="s">
        <v>90</v>
      </c>
      <c r="G56" s="16">
        <f t="shared" si="1"/>
        <v>3</v>
      </c>
      <c r="H56" s="17"/>
    </row>
    <row r="57" ht="15.75" customHeight="1">
      <c r="A57" s="11" t="str">
        <f>IF(Roster!A56="","",Roster!A56)</f>
        <v>Isaac Wilson</v>
      </c>
      <c r="B57" s="12">
        <f>IF(Roster!B56="","",Roster!B56)</f>
        <v>7</v>
      </c>
      <c r="C57" s="13" t="s">
        <v>89</v>
      </c>
      <c r="D57" s="13" t="s">
        <v>89</v>
      </c>
      <c r="E57" s="13" t="s">
        <v>89</v>
      </c>
      <c r="F57" s="13" t="s">
        <v>90</v>
      </c>
      <c r="G57" s="16">
        <f t="shared" si="1"/>
        <v>3</v>
      </c>
      <c r="H57" s="17"/>
    </row>
    <row r="58" ht="15.75" customHeight="1">
      <c r="A58" s="11" t="str">
        <f>IF(Roster!A57="","",Roster!A57)</f>
        <v>Tiancheng Yang</v>
      </c>
      <c r="B58" s="12">
        <f>IF(Roster!B57="","",Roster!B57)</f>
        <v>5</v>
      </c>
      <c r="C58" s="12"/>
      <c r="D58" s="12"/>
      <c r="E58" s="12"/>
      <c r="F58" s="12"/>
      <c r="G58" s="16">
        <f t="shared" si="1"/>
        <v>0</v>
      </c>
      <c r="H58" s="17"/>
    </row>
    <row r="59" ht="15.75" customHeight="1">
      <c r="A59" s="11" t="str">
        <f>IF(Roster!A58="","",Roster!A58)</f>
        <v>Tianming Yang</v>
      </c>
      <c r="B59" s="12">
        <f>IF(Roster!B58="","",Roster!B58)</f>
        <v>5</v>
      </c>
      <c r="C59" s="12"/>
      <c r="D59" s="12"/>
      <c r="E59" s="12"/>
      <c r="F59" s="12"/>
      <c r="G59" s="16">
        <f t="shared" si="1"/>
        <v>0</v>
      </c>
      <c r="H59" s="17"/>
    </row>
    <row r="60" ht="15.75" customHeight="1">
      <c r="A60" s="11" t="str">
        <f>IF(Roster!A59="","",Roster!A59)</f>
        <v/>
      </c>
      <c r="B60" s="12" t="str">
        <f>IF(Roster!B59="","",Roster!B59)</f>
        <v/>
      </c>
      <c r="C60" s="12"/>
      <c r="D60" s="12"/>
      <c r="E60" s="12"/>
      <c r="F60" s="12"/>
      <c r="G60" s="16" t="str">
        <f t="shared" si="1"/>
        <v/>
      </c>
      <c r="H60" s="17"/>
    </row>
    <row r="61" ht="15.75" customHeight="1">
      <c r="A61" s="11" t="str">
        <f>IF(Roster!A60="","",Roster!A60)</f>
        <v/>
      </c>
      <c r="B61" s="12" t="str">
        <f>IF(Roster!B60="","",Roster!B60)</f>
        <v/>
      </c>
      <c r="C61" s="12"/>
      <c r="D61" s="12"/>
      <c r="E61" s="12"/>
      <c r="F61" s="12"/>
      <c r="G61" s="16" t="str">
        <f t="shared" si="1"/>
        <v/>
      </c>
      <c r="H61" s="17"/>
    </row>
    <row r="62" ht="15.75" customHeight="1">
      <c r="A62" s="11" t="str">
        <f>IF(Roster!A61="","",Roster!A61)</f>
        <v/>
      </c>
      <c r="B62" s="12" t="str">
        <f>IF(Roster!B61="","",Roster!B61)</f>
        <v/>
      </c>
      <c r="C62" s="12"/>
      <c r="D62" s="12"/>
      <c r="E62" s="12"/>
      <c r="F62" s="12"/>
      <c r="G62" s="16" t="str">
        <f t="shared" si="1"/>
        <v/>
      </c>
      <c r="H62" s="17"/>
    </row>
    <row r="63" ht="15.75" customHeight="1">
      <c r="A63" s="11" t="str">
        <f>IF(Roster!A62="","",Roster!A62)</f>
        <v/>
      </c>
      <c r="B63" s="12" t="str">
        <f>IF(Roster!B62="","",Roster!B62)</f>
        <v/>
      </c>
      <c r="C63" s="12"/>
      <c r="D63" s="12"/>
      <c r="E63" s="12"/>
      <c r="F63" s="12"/>
      <c r="G63" s="16" t="str">
        <f t="shared" si="1"/>
        <v/>
      </c>
      <c r="H63" s="17"/>
    </row>
    <row r="64" ht="15.75" customHeight="1">
      <c r="A64" s="11" t="str">
        <f>IF(Roster!A63="","",Roster!A63)</f>
        <v/>
      </c>
      <c r="B64" s="12" t="str">
        <f>IF(Roster!B63="","",Roster!B63)</f>
        <v/>
      </c>
      <c r="C64" s="12"/>
      <c r="D64" s="12"/>
      <c r="E64" s="12"/>
      <c r="F64" s="12"/>
      <c r="G64" s="16" t="str">
        <f t="shared" si="1"/>
        <v/>
      </c>
      <c r="H64" s="17"/>
    </row>
    <row r="65" ht="15.75" customHeight="1"/>
    <row r="66" ht="15.75" customHeight="1">
      <c r="A66" s="14" t="s">
        <v>82</v>
      </c>
      <c r="B66" s="8"/>
      <c r="C66" s="8"/>
      <c r="D66" s="8"/>
      <c r="E66" s="8"/>
      <c r="F66" s="8"/>
      <c r="G66" s="8"/>
      <c r="H66" s="9"/>
    </row>
    <row r="67" ht="15.75" customHeight="1">
      <c r="A67" s="19" t="s">
        <v>97</v>
      </c>
      <c r="B67" s="20"/>
      <c r="C67" s="21">
        <f t="shared" ref="C67:F67" si="2">COUNTIF(C4:C64,"Yes")</f>
        <v>20</v>
      </c>
      <c r="D67" s="21">
        <f t="shared" si="2"/>
        <v>31</v>
      </c>
      <c r="E67" s="21">
        <f t="shared" si="2"/>
        <v>22</v>
      </c>
      <c r="F67" s="21">
        <f t="shared" si="2"/>
        <v>15</v>
      </c>
    </row>
    <row r="68" ht="15.75" customHeight="1">
      <c r="A68" s="19" t="s">
        <v>98</v>
      </c>
      <c r="C68" s="22">
        <f t="shared" ref="C68:F68" si="3">COUNTIF(C4:C64,"No")</f>
        <v>11</v>
      </c>
      <c r="D68" s="22">
        <f t="shared" si="3"/>
        <v>13</v>
      </c>
      <c r="E68" s="22">
        <f t="shared" si="3"/>
        <v>12</v>
      </c>
      <c r="F68" s="22">
        <f t="shared" si="3"/>
        <v>24</v>
      </c>
    </row>
    <row r="69" ht="15.75" customHeight="1">
      <c r="A69" s="19" t="s">
        <v>99</v>
      </c>
      <c r="C69" s="23">
        <f>SUMPRODUCT(($A$4:$A$64&lt;&gt;"")*($B$4:$B$64&lt;&gt;5)*(C4:C64=""))</f>
        <v>12</v>
      </c>
      <c r="D69" s="23">
        <f>SUMPRODUCT(($A$4:$A$64&lt;&gt;"")*(D4:D64=""))</f>
        <v>12</v>
      </c>
      <c r="E69" s="23">
        <f>SUMPRODUCT(($A$4:$A$64&lt;&gt;"")*($B$4:$B$64&lt;&gt;5)*(E4:E64=""))</f>
        <v>9</v>
      </c>
      <c r="F69" s="23">
        <f>SUMPRODUCT(($A$4:$A$64&lt;&gt;"")*(F4:F64=""))</f>
        <v>17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1:H1"/>
    <mergeCell ref="A2:B2"/>
    <mergeCell ref="C2:F2"/>
    <mergeCell ref="G2:H2"/>
    <mergeCell ref="A66:H66"/>
  </mergeCells>
  <conditionalFormatting sqref="C4:C64">
    <cfRule type="expression" dxfId="0" priority="1" stopIfTrue="1">
      <formula>$B4=5</formula>
    </cfRule>
  </conditionalFormatting>
  <conditionalFormatting sqref="C4:C64">
    <cfRule type="cellIs" dxfId="1" priority="2" operator="equal">
      <formula>"Yes"</formula>
    </cfRule>
  </conditionalFormatting>
  <conditionalFormatting sqref="C4:C64">
    <cfRule type="cellIs" dxfId="2" priority="3" operator="equal">
      <formula>"No"</formula>
    </cfRule>
  </conditionalFormatting>
  <conditionalFormatting sqref="D4:D64">
    <cfRule type="cellIs" dxfId="1" priority="4" operator="equal">
      <formula>"Yes"</formula>
    </cfRule>
  </conditionalFormatting>
  <conditionalFormatting sqref="D4:D64">
    <cfRule type="cellIs" dxfId="2" priority="5" operator="equal">
      <formula>"No"</formula>
    </cfRule>
  </conditionalFormatting>
  <conditionalFormatting sqref="E4:E64">
    <cfRule type="expression" dxfId="0" priority="6" stopIfTrue="1">
      <formula>$B4=5</formula>
    </cfRule>
  </conditionalFormatting>
  <conditionalFormatting sqref="E4:E64">
    <cfRule type="cellIs" dxfId="1" priority="7" operator="equal">
      <formula>"Yes"</formula>
    </cfRule>
  </conditionalFormatting>
  <conditionalFormatting sqref="E4:E64">
    <cfRule type="cellIs" dxfId="2" priority="8" operator="equal">
      <formula>"No"</formula>
    </cfRule>
  </conditionalFormatting>
  <conditionalFormatting sqref="F4:F64">
    <cfRule type="cellIs" dxfId="1" priority="9" operator="equal">
      <formula>"Yes"</formula>
    </cfRule>
  </conditionalFormatting>
  <conditionalFormatting sqref="F4:F64">
    <cfRule type="cellIs" dxfId="2" priority="10" operator="equal">
      <formula>"No"</formula>
    </cfRule>
  </conditionalFormatting>
  <dataValidations>
    <dataValidation type="list" allowBlank="1" sqref="C4:F64">
      <formula1>"Yes,No"</formula1>
    </dataValidation>
  </dataValidation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2026-05-04T13:15:41Z</dcterms:created>
  <dc:creator>openpyxl</dc:creator>
</cp:coreProperties>
</file>