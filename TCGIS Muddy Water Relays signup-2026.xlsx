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ctions" sheetId="1" state="visible" r:id="rId1"/>
    <sheet name="Roster" sheetId="2" state="visible" r:id="rId2"/>
    <sheet name="Signup" sheetId="3" state="visible" r:id="rId3"/>
    <sheet name="By Ev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11"/>
    </font>
    <font>
      <b val="1"/>
      <sz val="12"/>
    </font>
    <font>
      <sz val="10"/>
    </font>
    <font>
      <b val="1"/>
      <sz val="11"/>
    </font>
    <font>
      <b val="1"/>
      <sz val="10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790E1D"/>
      </patternFill>
    </fill>
    <fill>
      <patternFill patternType="solid">
        <fgColor rgb="00FFD700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2B6CB0"/>
      </patternFill>
    </fill>
    <fill>
      <patternFill patternType="solid">
        <fgColor rgb="00D69E2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indent="2"/>
    </xf>
    <xf numFmtId="0" fontId="0" fillId="0" borderId="1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b val="1"/>
        <color rgb="00C62828"/>
      </font>
      <fill>
        <patternFill patternType="solid">
          <fgColor rgb="00FFCDD2"/>
        </patternFill>
      </fill>
    </dxf>
    <dxf>
      <font>
        <b val="1"/>
        <color rgb="008A6D00"/>
      </font>
      <fill>
        <patternFill patternType="solid">
          <fgColor rgb="00FFF3CD"/>
        </patternFill>
      </fill>
    </dxf>
    <dxf>
      <font>
        <b val="1"/>
        <color rgb="002E7D32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YA Track</author>
  </authors>
  <commentList>
    <comment ref="D3" authorId="0" shapeId="0">
      <text>
        <t>4x100m Relay</t>
      </text>
    </comment>
    <comment ref="E3" authorId="0" shapeId="0">
      <text>
        <t>Distance Medley Relay (1200-400-800-1600)</t>
      </text>
    </comment>
    <comment ref="F3" authorId="0" shapeId="0">
      <text>
        <t>Sprint Medley Relay (100-100-200-400)</t>
      </text>
    </comment>
    <comment ref="G3" authorId="0" shapeId="0">
      <text>
        <t>4x800m Relay</t>
      </text>
    </comment>
    <comment ref="H3" authorId="0" shapeId="0">
      <text>
        <t>4x200m Relay</t>
      </text>
    </comment>
    <comment ref="I3" authorId="0" shapeId="0">
      <text>
        <t>Elimination Race</t>
      </text>
    </comment>
    <comment ref="J3" authorId="0" shapeId="0">
      <text>
        <t>4x400m Relay</t>
      </text>
    </comment>
    <comment ref="K3" authorId="0" shapeId="0">
      <text>
        <t>4x Shot Put (6 lb provided)</t>
      </text>
    </comment>
    <comment ref="L3" authorId="0" shapeId="0">
      <text>
        <t>4x Discus (1 kg provided)</t>
      </text>
    </comment>
    <comment ref="M3" authorId="0" shapeId="0">
      <text>
        <t>4x Long Jump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Yinghua Track — TCGIS Muddy Water Relays Event Signup</t>
        </is>
      </c>
    </row>
    <row r="2">
      <c r="A2" s="2" t="inlineStr"/>
    </row>
    <row r="3">
      <c r="A3" s="3" t="inlineStr">
        <is>
          <t>Friday, May 15, 2026 · arrive 5:00 PM · meet starts 5:45 PM · Concordia Academy (no bus)</t>
        </is>
      </c>
    </row>
    <row r="4">
      <c r="A4" s="2" t="inlineStr"/>
    </row>
    <row r="5">
      <c r="A5" s="4" t="inlineStr">
        <is>
          <t>How to use</t>
        </is>
      </c>
    </row>
    <row r="6">
      <c r="A6" s="5" t="inlineStr">
        <is>
          <t xml:space="preserve">  1. ROSTER tab — pre-filtered to athletes who said YES on the parent attendance form.</t>
        </is>
      </c>
    </row>
    <row r="7">
      <c r="A7" s="5" t="inlineStr">
        <is>
          <t xml:space="preserve">  2. SIGNUP tab — type into the event columns:</t>
        </is>
      </c>
    </row>
    <row r="8">
      <c r="A8" s="5" t="inlineStr">
        <is>
          <t xml:space="preserve">       • X = entered in this individual event</t>
        </is>
      </c>
    </row>
    <row r="9">
      <c r="A9" s="5" t="inlineStr">
        <is>
          <t xml:space="preserve">       • A or B or C or D = relay team letter</t>
        </is>
      </c>
    </row>
    <row r="10">
      <c r="A10" s="5" t="inlineStr">
        <is>
          <t xml:space="preserve">       Leave cells blank if the athlete isn't doing that event.</t>
        </is>
      </c>
    </row>
    <row r="11">
      <c r="A11" s="5" t="inlineStr">
        <is>
          <t xml:space="preserve">  3. Right-side Summary auto-counts and flags any athlete over 4 events.</t>
        </is>
      </c>
    </row>
    <row r="12">
      <c r="A12" s="5" t="inlineStr">
        <is>
          <t xml:space="preserve">  4. BY EVENT tab — auto-populated heat sheet, printable for the meet.</t>
        </is>
      </c>
    </row>
    <row r="13">
      <c r="A13" s="2" t="inlineStr"/>
    </row>
    <row r="14">
      <c r="A14" s="6" t="inlineStr">
        <is>
          <t>Rules</t>
        </is>
      </c>
    </row>
    <row r="15">
      <c r="A15" s="5" t="inlineStr">
        <is>
          <t xml:space="preserve">  • Max 4 events per athlete (combined running + field).</t>
        </is>
      </c>
    </row>
    <row r="16">
      <c r="A16" s="2" t="inlineStr"/>
    </row>
    <row r="17">
      <c r="A17" s="5" t="inlineStr">
        <is>
          <t xml:space="preserve">  • Almost every event is a 4-person RELAY. Field event relays = 4 athletes, 3 attempts each, best mark per athlete added.</t>
        </is>
      </c>
    </row>
    <row r="18">
      <c r="A18" s="5" t="inlineStr">
        <is>
          <t xml:space="preserve">  • Elimination Race is the only individual track event.</t>
        </is>
      </c>
    </row>
    <row r="19">
      <c r="A19" s="5" t="inlineStr">
        <is>
          <t xml:space="preserve">  • Up to 4 relay teams per event allowed; only the first 2 score per the host's rules.</t>
        </is>
      </c>
    </row>
    <row r="20">
      <c r="A20" s="5" t="inlineStr">
        <is>
          <t xml:space="preserve">  • Athletes are responsible for arriving at their events on time — no announcements.</t>
        </is>
      </c>
    </row>
    <row r="21">
      <c r="A21" s="5" t="inlineStr">
        <is>
          <t xml:space="preserve">  • Host provides 6 lb shots and 1 kg discs. Bring batons.</t>
        </is>
      </c>
    </row>
    <row r="22">
      <c r="A22" s="5" t="inlineStr">
        <is>
          <t xml:space="preserve">  • Scoring: 1st = 10 pts down to 10th = 1 pt. Boys and girls scored separately.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</cols>
  <sheetData>
    <row r="1" ht="22" customHeight="1">
      <c r="A1" s="7" t="inlineStr">
        <is>
          <t>Roster — 15 athletes attending TCGIS Muddy Water Relays</t>
        </is>
      </c>
    </row>
    <row r="2">
      <c r="A2" s="8" t="inlineStr">
        <is>
          <t>Name</t>
        </is>
      </c>
      <c r="B2" s="8" t="inlineStr">
        <is>
          <t>Grade</t>
        </is>
      </c>
      <c r="C2" s="8" t="inlineStr">
        <is>
          <t>Gender</t>
        </is>
      </c>
    </row>
    <row r="3">
      <c r="A3" s="9" t="inlineStr">
        <is>
          <t>Reuben Addington</t>
        </is>
      </c>
      <c r="B3" s="10" t="n">
        <v>6</v>
      </c>
      <c r="C3" s="10" t="inlineStr">
        <is>
          <t>M</t>
        </is>
      </c>
    </row>
    <row r="4">
      <c r="A4" s="9" t="inlineStr">
        <is>
          <t>Grayson Chon</t>
        </is>
      </c>
      <c r="B4" s="10" t="n">
        <v>7</v>
      </c>
      <c r="C4" s="10" t="inlineStr">
        <is>
          <t>M</t>
        </is>
      </c>
    </row>
    <row r="5">
      <c r="A5" s="9" t="inlineStr">
        <is>
          <t>Jace Euphosin</t>
        </is>
      </c>
      <c r="B5" s="10" t="n">
        <v>5</v>
      </c>
      <c r="C5" s="10" t="inlineStr">
        <is>
          <t>M</t>
        </is>
      </c>
    </row>
    <row r="6">
      <c r="A6" s="9" t="inlineStr">
        <is>
          <t>Elyse Folbrecht</t>
        </is>
      </c>
      <c r="B6" s="10" t="n">
        <v>6</v>
      </c>
      <c r="C6" s="10" t="inlineStr">
        <is>
          <t>F</t>
        </is>
      </c>
    </row>
    <row r="7">
      <c r="A7" s="9" t="inlineStr">
        <is>
          <t>Walter Folbrecht</t>
        </is>
      </c>
      <c r="B7" s="10" t="n">
        <v>5</v>
      </c>
      <c r="C7" s="10" t="inlineStr">
        <is>
          <t>M</t>
        </is>
      </c>
    </row>
    <row r="8">
      <c r="A8" s="9" t="inlineStr">
        <is>
          <t>Gabriella Gruber</t>
        </is>
      </c>
      <c r="B8" s="10" t="n">
        <v>5</v>
      </c>
      <c r="C8" s="10" t="inlineStr">
        <is>
          <t>F</t>
        </is>
      </c>
    </row>
    <row r="9">
      <c r="A9" s="9" t="inlineStr">
        <is>
          <t>Louie Herman</t>
        </is>
      </c>
      <c r="B9" s="10" t="n">
        <v>5</v>
      </c>
      <c r="C9" s="10" t="inlineStr">
        <is>
          <t>M</t>
        </is>
      </c>
    </row>
    <row r="10">
      <c r="A10" s="9" t="inlineStr">
        <is>
          <t>Ben Hinrichs</t>
        </is>
      </c>
      <c r="B10" s="10" t="n">
        <v>8</v>
      </c>
      <c r="C10" s="10" t="inlineStr">
        <is>
          <t>M</t>
        </is>
      </c>
    </row>
    <row r="11">
      <c r="A11" s="9" t="inlineStr">
        <is>
          <t>Brighton Balk Mmary</t>
        </is>
      </c>
      <c r="B11" s="10" t="n">
        <v>5</v>
      </c>
      <c r="C11" s="10" t="inlineStr">
        <is>
          <t>M</t>
        </is>
      </c>
    </row>
    <row r="12">
      <c r="A12" s="9" t="inlineStr">
        <is>
          <t>Amelia Roddy</t>
        </is>
      </c>
      <c r="B12" s="10" t="n">
        <v>6</v>
      </c>
      <c r="C12" s="10" t="inlineStr">
        <is>
          <t>F</t>
        </is>
      </c>
    </row>
    <row r="13">
      <c r="A13" s="9" t="inlineStr">
        <is>
          <t>Liv Romsaas</t>
        </is>
      </c>
      <c r="B13" s="10" t="n">
        <v>5</v>
      </c>
      <c r="C13" s="10" t="inlineStr">
        <is>
          <t>F</t>
        </is>
      </c>
    </row>
    <row r="14">
      <c r="A14" s="9" t="inlineStr">
        <is>
          <t>Frank Ryan</t>
        </is>
      </c>
      <c r="B14" s="10" t="n">
        <v>5</v>
      </c>
      <c r="C14" s="10" t="inlineStr">
        <is>
          <t>M</t>
        </is>
      </c>
    </row>
    <row r="15">
      <c r="A15" s="9" t="inlineStr">
        <is>
          <t>Charlotte Saeger</t>
        </is>
      </c>
      <c r="B15" s="10" t="n">
        <v>5</v>
      </c>
      <c r="C15" s="10" t="inlineStr">
        <is>
          <t>F</t>
        </is>
      </c>
    </row>
    <row r="16">
      <c r="A16" s="9" t="inlineStr">
        <is>
          <t>Otto Terhark</t>
        </is>
      </c>
      <c r="B16" s="10" t="n">
        <v>5</v>
      </c>
      <c r="C16" s="10" t="inlineStr">
        <is>
          <t>M</t>
        </is>
      </c>
    </row>
    <row r="17">
      <c r="A17" s="9" t="inlineStr">
        <is>
          <t>Ethan Tschida</t>
        </is>
      </c>
      <c r="B17" s="10" t="n">
        <v>6</v>
      </c>
      <c r="C17" s="10" t="inlineStr">
        <is>
          <t>M</t>
        </is>
      </c>
    </row>
    <row r="18">
      <c r="A18" s="9" t="n"/>
      <c r="B18" s="9" t="n"/>
      <c r="C18" s="9" t="n"/>
    </row>
    <row r="19">
      <c r="A19" s="9" t="n"/>
      <c r="B19" s="9" t="n"/>
      <c r="C19" s="9" t="n"/>
    </row>
    <row r="20">
      <c r="A20" s="9" t="n"/>
      <c r="B20" s="9" t="n"/>
      <c r="C20" s="9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22" customWidth="1" min="17" max="17"/>
  </cols>
  <sheetData>
    <row r="1" ht="22" customHeight="1">
      <c r="A1" s="7" t="inlineStr">
        <is>
          <t>TCGIS Muddy Water Relays — Athlete Event Signup</t>
        </is>
      </c>
    </row>
    <row r="2">
      <c r="D2" s="11" t="inlineStr">
        <is>
          <t>RUNNING EVENTS (X, or A/B/C/D for relays)</t>
        </is>
      </c>
      <c r="K2" s="11" t="inlineStr">
        <is>
          <t>FIELD EVENTS (X, or A/B/C/D for relays)</t>
        </is>
      </c>
      <c r="N2" s="11" t="inlineStr">
        <is>
          <t>SUMMARY</t>
        </is>
      </c>
    </row>
    <row r="3">
      <c r="A3" s="8" t="inlineStr">
        <is>
          <t>Name</t>
        </is>
      </c>
      <c r="B3" s="8" t="inlineStr">
        <is>
          <t>Grade</t>
        </is>
      </c>
      <c r="C3" s="8" t="inlineStr">
        <is>
          <t>Gender</t>
        </is>
      </c>
      <c r="D3" s="12" t="inlineStr">
        <is>
          <t>4x100</t>
        </is>
      </c>
      <c r="E3" s="12" t="inlineStr">
        <is>
          <t>DMR</t>
        </is>
      </c>
      <c r="F3" s="12" t="inlineStr">
        <is>
          <t>SMR</t>
        </is>
      </c>
      <c r="G3" s="12" t="inlineStr">
        <is>
          <t>4x800</t>
        </is>
      </c>
      <c r="H3" s="12" t="inlineStr">
        <is>
          <t>4x200</t>
        </is>
      </c>
      <c r="I3" s="12" t="inlineStr">
        <is>
          <t>ELIM</t>
        </is>
      </c>
      <c r="J3" s="12" t="inlineStr">
        <is>
          <t>4x400</t>
        </is>
      </c>
      <c r="K3" s="13" t="inlineStr">
        <is>
          <t>4xSP</t>
        </is>
      </c>
      <c r="L3" s="13" t="inlineStr">
        <is>
          <t>4xDISC</t>
        </is>
      </c>
      <c r="M3" s="13" t="inlineStr">
        <is>
          <t>4xLJ</t>
        </is>
      </c>
      <c r="N3" s="14" t="inlineStr">
        <is>
          <t>Run #</t>
        </is>
      </c>
      <c r="O3" s="14" t="inlineStr">
        <is>
          <t>Field #</t>
        </is>
      </c>
      <c r="P3" s="14" t="inlineStr">
        <is>
          <t>Total</t>
        </is>
      </c>
      <c r="Q3" s="14" t="inlineStr">
        <is>
          <t>Valid?</t>
        </is>
      </c>
    </row>
    <row r="4">
      <c r="A4" s="9">
        <f>IF(Roster!A3="","",Roster!A3)</f>
        <v/>
      </c>
      <c r="B4" s="10">
        <f>IF(Roster!B3="","",Roster!B3)</f>
        <v/>
      </c>
      <c r="C4" s="10">
        <f>IF(Roster!C3="","",Roster!C3)</f>
        <v/>
      </c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5">
        <f>IF(A4="","",COUNTA(D4:J4))</f>
        <v/>
      </c>
      <c r="O4" s="15">
        <f>IF(A4="","",COUNTA(K4:M4))</f>
        <v/>
      </c>
      <c r="P4" s="15">
        <f>IF(A4="","",N4+O4)</f>
        <v/>
      </c>
      <c r="Q4" s="15">
        <f>IF(A4="","",IF(P4=0,"",IF(P4&gt;4,"❌ Over 4 events",IF(AND(P4=4,NOT(OR(AND(N4=3,O4=1),AND(N4=1,O4=3)))),"⚠ Must be 3+1 or 1+3","✓ OK"))))</f>
        <v/>
      </c>
    </row>
    <row r="5">
      <c r="A5" s="9">
        <f>IF(Roster!A4="","",Roster!A4)</f>
        <v/>
      </c>
      <c r="B5" s="10">
        <f>IF(Roster!B4="","",Roster!B4)</f>
        <v/>
      </c>
      <c r="C5" s="10">
        <f>IF(Roster!C4="","",Roster!C4)</f>
        <v/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5">
        <f>IF(A5="","",COUNTA(D5:J5))</f>
        <v/>
      </c>
      <c r="O5" s="15">
        <f>IF(A5="","",COUNTA(K5:M5))</f>
        <v/>
      </c>
      <c r="P5" s="15">
        <f>IF(A5="","",N5+O5)</f>
        <v/>
      </c>
      <c r="Q5" s="15">
        <f>IF(A5="","",IF(P5=0,"",IF(P5&gt;4,"❌ Over 4 events",IF(AND(P5=4,NOT(OR(AND(N5=3,O5=1),AND(N5=1,O5=3)))),"⚠ Must be 3+1 or 1+3","✓ OK"))))</f>
        <v/>
      </c>
    </row>
    <row r="6">
      <c r="A6" s="9">
        <f>IF(Roster!A5="","",Roster!A5)</f>
        <v/>
      </c>
      <c r="B6" s="10">
        <f>IF(Roster!B5="","",Roster!B5)</f>
        <v/>
      </c>
      <c r="C6" s="10">
        <f>IF(Roster!C5="","",Roster!C5)</f>
        <v/>
      </c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5">
        <f>IF(A6="","",COUNTA(D6:J6))</f>
        <v/>
      </c>
      <c r="O6" s="15">
        <f>IF(A6="","",COUNTA(K6:M6))</f>
        <v/>
      </c>
      <c r="P6" s="15">
        <f>IF(A6="","",N6+O6)</f>
        <v/>
      </c>
      <c r="Q6" s="15">
        <f>IF(A6="","",IF(P6=0,"",IF(P6&gt;4,"❌ Over 4 events",IF(AND(P6=4,NOT(OR(AND(N6=3,O6=1),AND(N6=1,O6=3)))),"⚠ Must be 3+1 or 1+3","✓ OK"))))</f>
        <v/>
      </c>
    </row>
    <row r="7">
      <c r="A7" s="9">
        <f>IF(Roster!A6="","",Roster!A6)</f>
        <v/>
      </c>
      <c r="B7" s="10">
        <f>IF(Roster!B6="","",Roster!B6)</f>
        <v/>
      </c>
      <c r="C7" s="10">
        <f>IF(Roster!C6="","",Roster!C6)</f>
        <v/>
      </c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5">
        <f>IF(A7="","",COUNTA(D7:J7))</f>
        <v/>
      </c>
      <c r="O7" s="15">
        <f>IF(A7="","",COUNTA(K7:M7))</f>
        <v/>
      </c>
      <c r="P7" s="15">
        <f>IF(A7="","",N7+O7)</f>
        <v/>
      </c>
      <c r="Q7" s="15">
        <f>IF(A7="","",IF(P7=0,"",IF(P7&gt;4,"❌ Over 4 events",IF(AND(P7=4,NOT(OR(AND(N7=3,O7=1),AND(N7=1,O7=3)))),"⚠ Must be 3+1 or 1+3","✓ OK"))))</f>
        <v/>
      </c>
    </row>
    <row r="8">
      <c r="A8" s="9">
        <f>IF(Roster!A7="","",Roster!A7)</f>
        <v/>
      </c>
      <c r="B8" s="10">
        <f>IF(Roster!B7="","",Roster!B7)</f>
        <v/>
      </c>
      <c r="C8" s="10">
        <f>IF(Roster!C7="","",Roster!C7)</f>
        <v/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5">
        <f>IF(A8="","",COUNTA(D8:J8))</f>
        <v/>
      </c>
      <c r="O8" s="15">
        <f>IF(A8="","",COUNTA(K8:M8))</f>
        <v/>
      </c>
      <c r="P8" s="15">
        <f>IF(A8="","",N8+O8)</f>
        <v/>
      </c>
      <c r="Q8" s="15">
        <f>IF(A8="","",IF(P8=0,"",IF(P8&gt;4,"❌ Over 4 events",IF(AND(P8=4,NOT(OR(AND(N8=3,O8=1),AND(N8=1,O8=3)))),"⚠ Must be 3+1 or 1+3","✓ OK"))))</f>
        <v/>
      </c>
    </row>
    <row r="9">
      <c r="A9" s="9">
        <f>IF(Roster!A8="","",Roster!A8)</f>
        <v/>
      </c>
      <c r="B9" s="10">
        <f>IF(Roster!B8="","",Roster!B8)</f>
        <v/>
      </c>
      <c r="C9" s="10">
        <f>IF(Roster!C8="","",Roster!C8)</f>
        <v/>
      </c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5">
        <f>IF(A9="","",COUNTA(D9:J9))</f>
        <v/>
      </c>
      <c r="O9" s="15">
        <f>IF(A9="","",COUNTA(K9:M9))</f>
        <v/>
      </c>
      <c r="P9" s="15">
        <f>IF(A9="","",N9+O9)</f>
        <v/>
      </c>
      <c r="Q9" s="15">
        <f>IF(A9="","",IF(P9=0,"",IF(P9&gt;4,"❌ Over 4 events",IF(AND(P9=4,NOT(OR(AND(N9=3,O9=1),AND(N9=1,O9=3)))),"⚠ Must be 3+1 or 1+3","✓ OK"))))</f>
        <v/>
      </c>
    </row>
    <row r="10">
      <c r="A10" s="9">
        <f>IF(Roster!A9="","",Roster!A9)</f>
        <v/>
      </c>
      <c r="B10" s="10">
        <f>IF(Roster!B9="","",Roster!B9)</f>
        <v/>
      </c>
      <c r="C10" s="10">
        <f>IF(Roster!C9="","",Roster!C9)</f>
        <v/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5">
        <f>IF(A10="","",COUNTA(D10:J10))</f>
        <v/>
      </c>
      <c r="O10" s="15">
        <f>IF(A10="","",COUNTA(K10:M10))</f>
        <v/>
      </c>
      <c r="P10" s="15">
        <f>IF(A10="","",N10+O10)</f>
        <v/>
      </c>
      <c r="Q10" s="15">
        <f>IF(A10="","",IF(P10=0,"",IF(P10&gt;4,"❌ Over 4 events",IF(AND(P10=4,NOT(OR(AND(N10=3,O10=1),AND(N10=1,O10=3)))),"⚠ Must be 3+1 or 1+3","✓ OK"))))</f>
        <v/>
      </c>
    </row>
    <row r="11">
      <c r="A11" s="9">
        <f>IF(Roster!A10="","",Roster!A10)</f>
        <v/>
      </c>
      <c r="B11" s="10">
        <f>IF(Roster!B10="","",Roster!B10)</f>
        <v/>
      </c>
      <c r="C11" s="10">
        <f>IF(Roster!C10="","",Roster!C10)</f>
        <v/>
      </c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5">
        <f>IF(A11="","",COUNTA(D11:J11))</f>
        <v/>
      </c>
      <c r="O11" s="15">
        <f>IF(A11="","",COUNTA(K11:M11))</f>
        <v/>
      </c>
      <c r="P11" s="15">
        <f>IF(A11="","",N11+O11)</f>
        <v/>
      </c>
      <c r="Q11" s="15">
        <f>IF(A11="","",IF(P11=0,"",IF(P11&gt;4,"❌ Over 4 events",IF(AND(P11=4,NOT(OR(AND(N11=3,O11=1),AND(N11=1,O11=3)))),"⚠ Must be 3+1 or 1+3","✓ OK"))))</f>
        <v/>
      </c>
    </row>
    <row r="12">
      <c r="A12" s="9">
        <f>IF(Roster!A11="","",Roster!A11)</f>
        <v/>
      </c>
      <c r="B12" s="10">
        <f>IF(Roster!B11="","",Roster!B11)</f>
        <v/>
      </c>
      <c r="C12" s="10">
        <f>IF(Roster!C11="","",Roster!C11)</f>
        <v/>
      </c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5">
        <f>IF(A12="","",COUNTA(D12:J12))</f>
        <v/>
      </c>
      <c r="O12" s="15">
        <f>IF(A12="","",COUNTA(K12:M12))</f>
        <v/>
      </c>
      <c r="P12" s="15">
        <f>IF(A12="","",N12+O12)</f>
        <v/>
      </c>
      <c r="Q12" s="15">
        <f>IF(A12="","",IF(P12=0,"",IF(P12&gt;4,"❌ Over 4 events",IF(AND(P12=4,NOT(OR(AND(N12=3,O12=1),AND(N12=1,O12=3)))),"⚠ Must be 3+1 or 1+3","✓ OK"))))</f>
        <v/>
      </c>
    </row>
    <row r="13">
      <c r="A13" s="9">
        <f>IF(Roster!A12="","",Roster!A12)</f>
        <v/>
      </c>
      <c r="B13" s="10">
        <f>IF(Roster!B12="","",Roster!B12)</f>
        <v/>
      </c>
      <c r="C13" s="10">
        <f>IF(Roster!C12="","",Roster!C12)</f>
        <v/>
      </c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5">
        <f>IF(A13="","",COUNTA(D13:J13))</f>
        <v/>
      </c>
      <c r="O13" s="15">
        <f>IF(A13="","",COUNTA(K13:M13))</f>
        <v/>
      </c>
      <c r="P13" s="15">
        <f>IF(A13="","",N13+O13)</f>
        <v/>
      </c>
      <c r="Q13" s="15">
        <f>IF(A13="","",IF(P13=0,"",IF(P13&gt;4,"❌ Over 4 events",IF(AND(P13=4,NOT(OR(AND(N13=3,O13=1),AND(N13=1,O13=3)))),"⚠ Must be 3+1 or 1+3","✓ OK"))))</f>
        <v/>
      </c>
    </row>
    <row r="14">
      <c r="A14" s="9">
        <f>IF(Roster!A13="","",Roster!A13)</f>
        <v/>
      </c>
      <c r="B14" s="10">
        <f>IF(Roster!B13="","",Roster!B13)</f>
        <v/>
      </c>
      <c r="C14" s="10">
        <f>IF(Roster!C13="","",Roster!C13)</f>
        <v/>
      </c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5">
        <f>IF(A14="","",COUNTA(D14:J14))</f>
        <v/>
      </c>
      <c r="O14" s="15">
        <f>IF(A14="","",COUNTA(K14:M14))</f>
        <v/>
      </c>
      <c r="P14" s="15">
        <f>IF(A14="","",N14+O14)</f>
        <v/>
      </c>
      <c r="Q14" s="15">
        <f>IF(A14="","",IF(P14=0,"",IF(P14&gt;4,"❌ Over 4 events",IF(AND(P14=4,NOT(OR(AND(N14=3,O14=1),AND(N14=1,O14=3)))),"⚠ Must be 3+1 or 1+3","✓ OK"))))</f>
        <v/>
      </c>
    </row>
    <row r="15">
      <c r="A15" s="9">
        <f>IF(Roster!A14="","",Roster!A14)</f>
        <v/>
      </c>
      <c r="B15" s="10">
        <f>IF(Roster!B14="","",Roster!B14)</f>
        <v/>
      </c>
      <c r="C15" s="10">
        <f>IF(Roster!C14="","",Roster!C14)</f>
        <v/>
      </c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5">
        <f>IF(A15="","",COUNTA(D15:J15))</f>
        <v/>
      </c>
      <c r="O15" s="15">
        <f>IF(A15="","",COUNTA(K15:M15))</f>
        <v/>
      </c>
      <c r="P15" s="15">
        <f>IF(A15="","",N15+O15)</f>
        <v/>
      </c>
      <c r="Q15" s="15">
        <f>IF(A15="","",IF(P15=0,"",IF(P15&gt;4,"❌ Over 4 events",IF(AND(P15=4,NOT(OR(AND(N15=3,O15=1),AND(N15=1,O15=3)))),"⚠ Must be 3+1 or 1+3","✓ OK"))))</f>
        <v/>
      </c>
    </row>
    <row r="16">
      <c r="A16" s="9">
        <f>IF(Roster!A15="","",Roster!A15)</f>
        <v/>
      </c>
      <c r="B16" s="10">
        <f>IF(Roster!B15="","",Roster!B15)</f>
        <v/>
      </c>
      <c r="C16" s="10">
        <f>IF(Roster!C15="","",Roster!C15)</f>
        <v/>
      </c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5">
        <f>IF(A16="","",COUNTA(D16:J16))</f>
        <v/>
      </c>
      <c r="O16" s="15">
        <f>IF(A16="","",COUNTA(K16:M16))</f>
        <v/>
      </c>
      <c r="P16" s="15">
        <f>IF(A16="","",N16+O16)</f>
        <v/>
      </c>
      <c r="Q16" s="15">
        <f>IF(A16="","",IF(P16=0,"",IF(P16&gt;4,"❌ Over 4 events",IF(AND(P16=4,NOT(OR(AND(N16=3,O16=1),AND(N16=1,O16=3)))),"⚠ Must be 3+1 or 1+3","✓ OK"))))</f>
        <v/>
      </c>
    </row>
    <row r="17">
      <c r="A17" s="9">
        <f>IF(Roster!A16="","",Roster!A16)</f>
        <v/>
      </c>
      <c r="B17" s="10">
        <f>IF(Roster!B16="","",Roster!B16)</f>
        <v/>
      </c>
      <c r="C17" s="10">
        <f>IF(Roster!C16="","",Roster!C16)</f>
        <v/>
      </c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5">
        <f>IF(A17="","",COUNTA(D17:J17))</f>
        <v/>
      </c>
      <c r="O17" s="15">
        <f>IF(A17="","",COUNTA(K17:M17))</f>
        <v/>
      </c>
      <c r="P17" s="15">
        <f>IF(A17="","",N17+O17)</f>
        <v/>
      </c>
      <c r="Q17" s="15">
        <f>IF(A17="","",IF(P17=0,"",IF(P17&gt;4,"❌ Over 4 events",IF(AND(P17=4,NOT(OR(AND(N17=3,O17=1),AND(N17=1,O17=3)))),"⚠ Must be 3+1 or 1+3","✓ OK"))))</f>
        <v/>
      </c>
    </row>
    <row r="18">
      <c r="A18" s="9">
        <f>IF(Roster!A17="","",Roster!A17)</f>
        <v/>
      </c>
      <c r="B18" s="10">
        <f>IF(Roster!B17="","",Roster!B17)</f>
        <v/>
      </c>
      <c r="C18" s="10">
        <f>IF(Roster!C17="","",Roster!C17)</f>
        <v/>
      </c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5">
        <f>IF(A18="","",COUNTA(D18:J18))</f>
        <v/>
      </c>
      <c r="O18" s="15">
        <f>IF(A18="","",COUNTA(K18:M18))</f>
        <v/>
      </c>
      <c r="P18" s="15">
        <f>IF(A18="","",N18+O18)</f>
        <v/>
      </c>
      <c r="Q18" s="15">
        <f>IF(A18="","",IF(P18=0,"",IF(P18&gt;4,"❌ Over 4 events",IF(AND(P18=4,NOT(OR(AND(N18=3,O18=1),AND(N18=1,O18=3)))),"⚠ Must be 3+1 or 1+3","✓ OK"))))</f>
        <v/>
      </c>
    </row>
    <row r="19">
      <c r="A19" s="9">
        <f>IF(Roster!A18="","",Roster!A18)</f>
        <v/>
      </c>
      <c r="B19" s="10">
        <f>IF(Roster!B18="","",Roster!B18)</f>
        <v/>
      </c>
      <c r="C19" s="10">
        <f>IF(Roster!C18="","",Roster!C18)</f>
        <v/>
      </c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5">
        <f>IF(A19="","",COUNTA(D19:J19))</f>
        <v/>
      </c>
      <c r="O19" s="15">
        <f>IF(A19="","",COUNTA(K19:M19))</f>
        <v/>
      </c>
      <c r="P19" s="15">
        <f>IF(A19="","",N19+O19)</f>
        <v/>
      </c>
      <c r="Q19" s="15">
        <f>IF(A19="","",IF(P19=0,"",IF(P19&gt;4,"❌ Over 4 events",IF(AND(P19=4,NOT(OR(AND(N19=3,O19=1),AND(N19=1,O19=3)))),"⚠ Must be 3+1 or 1+3","✓ OK"))))</f>
        <v/>
      </c>
    </row>
    <row r="20">
      <c r="A20" s="9">
        <f>IF(Roster!A19="","",Roster!A19)</f>
        <v/>
      </c>
      <c r="B20" s="10">
        <f>IF(Roster!B19="","",Roster!B19)</f>
        <v/>
      </c>
      <c r="C20" s="10">
        <f>IF(Roster!C19="","",Roster!C19)</f>
        <v/>
      </c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5">
        <f>IF(A20="","",COUNTA(D20:J20))</f>
        <v/>
      </c>
      <c r="O20" s="15">
        <f>IF(A20="","",COUNTA(K20:M20))</f>
        <v/>
      </c>
      <c r="P20" s="15">
        <f>IF(A20="","",N20+O20)</f>
        <v/>
      </c>
      <c r="Q20" s="15">
        <f>IF(A20="","",IF(P20=0,"",IF(P20&gt;4,"❌ Over 4 events",IF(AND(P20=4,NOT(OR(AND(N20=3,O20=1),AND(N20=1,O20=3)))),"⚠ Must be 3+1 or 1+3","✓ OK"))))</f>
        <v/>
      </c>
    </row>
    <row r="21">
      <c r="A21" s="9">
        <f>IF(Roster!A20="","",Roster!A20)</f>
        <v/>
      </c>
      <c r="B21" s="10">
        <f>IF(Roster!B20="","",Roster!B20)</f>
        <v/>
      </c>
      <c r="C21" s="10">
        <f>IF(Roster!C20="","",Roster!C20)</f>
        <v/>
      </c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5">
        <f>IF(A21="","",COUNTA(D21:J21))</f>
        <v/>
      </c>
      <c r="O21" s="15">
        <f>IF(A21="","",COUNTA(K21:M21))</f>
        <v/>
      </c>
      <c r="P21" s="15">
        <f>IF(A21="","",N21+O21)</f>
        <v/>
      </c>
      <c r="Q21" s="15">
        <f>IF(A21="","",IF(P21=0,"",IF(P21&gt;4,"❌ Over 4 events",IF(AND(P21=4,NOT(OR(AND(N21=3,O21=1),AND(N21=1,O21=3)))),"⚠ Must be 3+1 or 1+3","✓ OK"))))</f>
        <v/>
      </c>
    </row>
  </sheetData>
  <mergeCells count="4">
    <mergeCell ref="N2:Q2"/>
    <mergeCell ref="K2:M2"/>
    <mergeCell ref="A1:Q1"/>
    <mergeCell ref="D2:J2"/>
  </mergeCells>
  <conditionalFormatting sqref="P4:P21">
    <cfRule type="cellIs" priority="1" operator="greaterThan" dxfId="0">
      <formula>4</formula>
    </cfRule>
  </conditionalFormatting>
  <conditionalFormatting sqref="Q4:Q21">
    <cfRule type="expression" priority="2" dxfId="0">
      <formula>ISNUMBER(SEARCH("❌",Q4))</formula>
    </cfRule>
    <cfRule type="expression" priority="3" dxfId="1">
      <formula>ISNUMBER(SEARCH("⚠",Q4))</formula>
    </cfRule>
    <cfRule type="expression" priority="4" dxfId="2">
      <formula>ISNUMBER(SEARCH("OK",Q4))</formula>
    </cfRule>
  </conditionalFormatting>
  <dataValidations count="10">
    <dataValidation sqref="D4:D21" showDropDown="0" showInputMessage="0" showErrorMessage="0" allowBlank="1" errorTitle="Invalid entry" error="Use X for individual, or A/B/C/D for relay teams." type="list">
      <formula1>"X,A,B,C,D"</formula1>
    </dataValidation>
    <dataValidation sqref="E4:E21" showDropDown="0" showInputMessage="0" showErrorMessage="0" allowBlank="1" errorTitle="Invalid entry" error="Use X for individual, or A/B/C/D for relay teams." type="list">
      <formula1>"X,A,B,C,D"</formula1>
    </dataValidation>
    <dataValidation sqref="F4:F21" showDropDown="0" showInputMessage="0" showErrorMessage="0" allowBlank="1" errorTitle="Invalid entry" error="Use X for individual, or A/B/C/D for relay teams." type="list">
      <formula1>"X,A,B,C,D"</formula1>
    </dataValidation>
    <dataValidation sqref="G4:G21" showDropDown="0" showInputMessage="0" showErrorMessage="0" allowBlank="1" errorTitle="Invalid entry" error="Use X for individual, or A/B/C/D for relay teams." type="list">
      <formula1>"X,A,B,C,D"</formula1>
    </dataValidation>
    <dataValidation sqref="H4:H21" showDropDown="0" showInputMessage="0" showErrorMessage="0" allowBlank="1" errorTitle="Invalid entry" error="Use X for individual, or A/B/C/D for relay teams." type="list">
      <formula1>"X,A,B,C,D"</formula1>
    </dataValidation>
    <dataValidation sqref="I4:I21" showDropDown="0" showInputMessage="0" showErrorMessage="0" allowBlank="1" errorTitle="Invalid entry" error="Use X to enter this event." type="list">
      <formula1>"X"</formula1>
    </dataValidation>
    <dataValidation sqref="J4:J21" showDropDown="0" showInputMessage="0" showErrorMessage="0" allowBlank="1" errorTitle="Invalid entry" error="Use X for individual, or A/B/C/D for relay teams." type="list">
      <formula1>"X,A,B,C,D"</formula1>
    </dataValidation>
    <dataValidation sqref="K4:K21" showDropDown="0" showInputMessage="0" showErrorMessage="0" allowBlank="1" errorTitle="Invalid entry" error="Use X for individual, or A/B/C/D for relay teams." type="list">
      <formula1>"X,A,B,C,D"</formula1>
    </dataValidation>
    <dataValidation sqref="L4:L21" showDropDown="0" showInputMessage="0" showErrorMessage="0" allowBlank="1" errorTitle="Invalid entry" error="Use X for individual, or A/B/C/D for relay teams." type="list">
      <formula1>"X,A,B,C,D"</formula1>
    </dataValidation>
    <dataValidation sqref="M4:M21" showDropDown="0" showInputMessage="0" showErrorMessage="0" allowBlank="1" errorTitle="Invalid entry" error="Use X for individual, or A/B/C/D for relay teams." type="list">
      <formula1>"X,A,B,C,D"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2" customHeight="1">
      <c r="A1" s="7" t="inlineStr">
        <is>
          <t>By Event — TCGIS Muddy Water Relays (auto-populated heat sheet)</t>
        </is>
      </c>
    </row>
    <row r="3">
      <c r="A3" s="16" t="inlineStr">
        <is>
          <t>RUNNING EVENTS</t>
        </is>
      </c>
    </row>
    <row r="4">
      <c r="A4" s="17" t="inlineStr">
        <is>
          <t>4x100m Relay</t>
        </is>
      </c>
    </row>
    <row r="5">
      <c r="A5" s="18" t="inlineStr">
        <is>
          <t>Team A</t>
        </is>
      </c>
      <c r="B5" s="19">
        <f>IFERROR(TEXTJOIN(", ",TRUE,FILTER(Signup!$A$4:$A$21,Signup!$D$4:$D$21="A")),"")</f>
        <v/>
      </c>
    </row>
    <row r="6">
      <c r="A6" s="18" t="inlineStr">
        <is>
          <t>Team B</t>
        </is>
      </c>
      <c r="B6" s="19">
        <f>IFERROR(TEXTJOIN(", ",TRUE,FILTER(Signup!$A$4:$A$21,Signup!$D$4:$D$21="B")),"")</f>
        <v/>
      </c>
    </row>
    <row r="7">
      <c r="A7" s="18" t="inlineStr">
        <is>
          <t>Team C</t>
        </is>
      </c>
      <c r="B7" s="19">
        <f>IFERROR(TEXTJOIN(", ",TRUE,FILTER(Signup!$A$4:$A$21,Signup!$D$4:$D$21="C")),"")</f>
        <v/>
      </c>
    </row>
    <row r="8">
      <c r="A8" s="18" t="inlineStr">
        <is>
          <t>Team D</t>
        </is>
      </c>
      <c r="B8" s="19">
        <f>IFERROR(TEXTJOIN(", ",TRUE,FILTER(Signup!$A$4:$A$21,Signup!$D$4:$D$21="D")),"")</f>
        <v/>
      </c>
    </row>
    <row r="10">
      <c r="A10" s="17" t="inlineStr">
        <is>
          <t>Distance Medley Relay (1200-400-800-1600)</t>
        </is>
      </c>
    </row>
    <row r="11">
      <c r="A11" s="18" t="inlineStr">
        <is>
          <t>Team A</t>
        </is>
      </c>
      <c r="B11" s="19">
        <f>IFERROR(TEXTJOIN(", ",TRUE,FILTER(Signup!$A$4:$A$21,Signup!$E$4:$E$21="A")),"")</f>
        <v/>
      </c>
    </row>
    <row r="12">
      <c r="A12" s="18" t="inlineStr">
        <is>
          <t>Team B</t>
        </is>
      </c>
      <c r="B12" s="19">
        <f>IFERROR(TEXTJOIN(", ",TRUE,FILTER(Signup!$A$4:$A$21,Signup!$E$4:$E$21="B")),"")</f>
        <v/>
      </c>
    </row>
    <row r="13">
      <c r="A13" s="18" t="inlineStr">
        <is>
          <t>Team C</t>
        </is>
      </c>
      <c r="B13" s="19">
        <f>IFERROR(TEXTJOIN(", ",TRUE,FILTER(Signup!$A$4:$A$21,Signup!$E$4:$E$21="C")),"")</f>
        <v/>
      </c>
    </row>
    <row r="14">
      <c r="A14" s="18" t="inlineStr">
        <is>
          <t>Team D</t>
        </is>
      </c>
      <c r="B14" s="19">
        <f>IFERROR(TEXTJOIN(", ",TRUE,FILTER(Signup!$A$4:$A$21,Signup!$E$4:$E$21="D")),"")</f>
        <v/>
      </c>
    </row>
    <row r="16">
      <c r="A16" s="17" t="inlineStr">
        <is>
          <t>Sprint Medley Relay (100-100-200-400)</t>
        </is>
      </c>
    </row>
    <row r="17">
      <c r="A17" s="18" t="inlineStr">
        <is>
          <t>Team A</t>
        </is>
      </c>
      <c r="B17" s="19">
        <f>IFERROR(TEXTJOIN(", ",TRUE,FILTER(Signup!$A$4:$A$21,Signup!$F$4:$F$21="A")),"")</f>
        <v/>
      </c>
    </row>
    <row r="18">
      <c r="A18" s="18" t="inlineStr">
        <is>
          <t>Team B</t>
        </is>
      </c>
      <c r="B18" s="19">
        <f>IFERROR(TEXTJOIN(", ",TRUE,FILTER(Signup!$A$4:$A$21,Signup!$F$4:$F$21="B")),"")</f>
        <v/>
      </c>
    </row>
    <row r="19">
      <c r="A19" s="18" t="inlineStr">
        <is>
          <t>Team C</t>
        </is>
      </c>
      <c r="B19" s="19">
        <f>IFERROR(TEXTJOIN(", ",TRUE,FILTER(Signup!$A$4:$A$21,Signup!$F$4:$F$21="C")),"")</f>
        <v/>
      </c>
    </row>
    <row r="20">
      <c r="A20" s="18" t="inlineStr">
        <is>
          <t>Team D</t>
        </is>
      </c>
      <c r="B20" s="19">
        <f>IFERROR(TEXTJOIN(", ",TRUE,FILTER(Signup!$A$4:$A$21,Signup!$F$4:$F$21="D")),"")</f>
        <v/>
      </c>
    </row>
    <row r="22">
      <c r="A22" s="17" t="inlineStr">
        <is>
          <t>4x800m Relay</t>
        </is>
      </c>
    </row>
    <row r="23">
      <c r="A23" s="18" t="inlineStr">
        <is>
          <t>Team A</t>
        </is>
      </c>
      <c r="B23" s="19">
        <f>IFERROR(TEXTJOIN(", ",TRUE,FILTER(Signup!$A$4:$A$21,Signup!$G$4:$G$21="A")),"")</f>
        <v/>
      </c>
    </row>
    <row r="24">
      <c r="A24" s="18" t="inlineStr">
        <is>
          <t>Team B</t>
        </is>
      </c>
      <c r="B24" s="19">
        <f>IFERROR(TEXTJOIN(", ",TRUE,FILTER(Signup!$A$4:$A$21,Signup!$G$4:$G$21="B")),"")</f>
        <v/>
      </c>
    </row>
    <row r="25">
      <c r="A25" s="18" t="inlineStr">
        <is>
          <t>Team C</t>
        </is>
      </c>
      <c r="B25" s="19">
        <f>IFERROR(TEXTJOIN(", ",TRUE,FILTER(Signup!$A$4:$A$21,Signup!$G$4:$G$21="C")),"")</f>
        <v/>
      </c>
    </row>
    <row r="26">
      <c r="A26" s="18" t="inlineStr">
        <is>
          <t>Team D</t>
        </is>
      </c>
      <c r="B26" s="19">
        <f>IFERROR(TEXTJOIN(", ",TRUE,FILTER(Signup!$A$4:$A$21,Signup!$G$4:$G$21="D")),"")</f>
        <v/>
      </c>
    </row>
    <row r="28">
      <c r="A28" s="17" t="inlineStr">
        <is>
          <t>4x200m Relay</t>
        </is>
      </c>
    </row>
    <row r="29">
      <c r="A29" s="18" t="inlineStr">
        <is>
          <t>Team A</t>
        </is>
      </c>
      <c r="B29" s="19">
        <f>IFERROR(TEXTJOIN(", ",TRUE,FILTER(Signup!$A$4:$A$21,Signup!$H$4:$H$21="A")),"")</f>
        <v/>
      </c>
    </row>
    <row r="30">
      <c r="A30" s="18" t="inlineStr">
        <is>
          <t>Team B</t>
        </is>
      </c>
      <c r="B30" s="19">
        <f>IFERROR(TEXTJOIN(", ",TRUE,FILTER(Signup!$A$4:$A$21,Signup!$H$4:$H$21="B")),"")</f>
        <v/>
      </c>
    </row>
    <row r="31">
      <c r="A31" s="18" t="inlineStr">
        <is>
          <t>Team C</t>
        </is>
      </c>
      <c r="B31" s="19">
        <f>IFERROR(TEXTJOIN(", ",TRUE,FILTER(Signup!$A$4:$A$21,Signup!$H$4:$H$21="C")),"")</f>
        <v/>
      </c>
    </row>
    <row r="32">
      <c r="A32" s="18" t="inlineStr">
        <is>
          <t>Team D</t>
        </is>
      </c>
      <c r="B32" s="19">
        <f>IFERROR(TEXTJOIN(", ",TRUE,FILTER(Signup!$A$4:$A$21,Signup!$H$4:$H$21="D")),"")</f>
        <v/>
      </c>
    </row>
    <row r="34">
      <c r="A34" s="17" t="inlineStr">
        <is>
          <t>Elimination Race</t>
        </is>
      </c>
    </row>
    <row r="35">
      <c r="A35" s="18" t="inlineStr">
        <is>
          <t>6/7 Girls</t>
        </is>
      </c>
      <c r="B35" s="19">
        <f>IFERROR(TEXTJOIN(", ",TRUE,FILTER(Signup!$A$4:$A$21,(Signup!$I$4:$I$21="X")*(((Signup!$B$4:$B$21=6)+(Signup!$B$4:$B$21=7))&gt;0)*(Signup!$C$4:$C$21="F"))),"")</f>
        <v/>
      </c>
    </row>
    <row r="36">
      <c r="A36" s="18" t="inlineStr">
        <is>
          <t>8 Girls</t>
        </is>
      </c>
      <c r="B36" s="19">
        <f>IFERROR(TEXTJOIN(", ",TRUE,FILTER(Signup!$A$4:$A$21,(Signup!$I$4:$I$21="X")*(Signup!$B$4:$B$21=8)*(Signup!$C$4:$C$21="F"))),"")</f>
        <v/>
      </c>
    </row>
    <row r="37">
      <c r="A37" s="18" t="inlineStr">
        <is>
          <t>6/7 Boys</t>
        </is>
      </c>
      <c r="B37" s="19">
        <f>IFERROR(TEXTJOIN(", ",TRUE,FILTER(Signup!$A$4:$A$21,(Signup!$I$4:$I$21="X")*(((Signup!$B$4:$B$21=6)+(Signup!$B$4:$B$21=7))&gt;0)*(Signup!$C$4:$C$21="M"))),"")</f>
        <v/>
      </c>
    </row>
    <row r="38">
      <c r="A38" s="18" t="inlineStr">
        <is>
          <t>8 Boys</t>
        </is>
      </c>
      <c r="B38" s="19">
        <f>IFERROR(TEXTJOIN(", ",TRUE,FILTER(Signup!$A$4:$A$21,(Signup!$I$4:$I$21="X")*(Signup!$B$4:$B$21=8)*(Signup!$C$4:$C$21="M"))),"")</f>
        <v/>
      </c>
    </row>
    <row r="39">
      <c r="A39" s="18" t="inlineStr">
        <is>
          <t>5th Grade Girls</t>
        </is>
      </c>
      <c r="B39" s="19">
        <f>IFERROR(TEXTJOIN(", ",TRUE,FILTER(Signup!$A$4:$A$21,(Signup!$I$4:$I$21="X")*(Signup!$B$4:$B$21=5)*(Signup!$C$4:$C$21="F"))),"")</f>
        <v/>
      </c>
    </row>
    <row r="40">
      <c r="A40" s="18" t="inlineStr">
        <is>
          <t>5th Grade Boys</t>
        </is>
      </c>
      <c r="B40" s="19">
        <f>IFERROR(TEXTJOIN(", ",TRUE,FILTER(Signup!$A$4:$A$21,(Signup!$I$4:$I$21="X")*(Signup!$B$4:$B$21=5)*(Signup!$C$4:$C$21="M"))),"")</f>
        <v/>
      </c>
    </row>
    <row r="42">
      <c r="A42" s="17" t="inlineStr">
        <is>
          <t>4x400m Relay</t>
        </is>
      </c>
    </row>
    <row r="43">
      <c r="A43" s="18" t="inlineStr">
        <is>
          <t>Team A</t>
        </is>
      </c>
      <c r="B43" s="19">
        <f>IFERROR(TEXTJOIN(", ",TRUE,FILTER(Signup!$A$4:$A$21,Signup!$J$4:$J$21="A")),"")</f>
        <v/>
      </c>
    </row>
    <row r="44">
      <c r="A44" s="18" t="inlineStr">
        <is>
          <t>Team B</t>
        </is>
      </c>
      <c r="B44" s="19">
        <f>IFERROR(TEXTJOIN(", ",TRUE,FILTER(Signup!$A$4:$A$21,Signup!$J$4:$J$21="B")),"")</f>
        <v/>
      </c>
    </row>
    <row r="45">
      <c r="A45" s="18" t="inlineStr">
        <is>
          <t>Team C</t>
        </is>
      </c>
      <c r="B45" s="19">
        <f>IFERROR(TEXTJOIN(", ",TRUE,FILTER(Signup!$A$4:$A$21,Signup!$J$4:$J$21="C")),"")</f>
        <v/>
      </c>
    </row>
    <row r="46">
      <c r="A46" s="18" t="inlineStr">
        <is>
          <t>Team D</t>
        </is>
      </c>
      <c r="B46" s="19">
        <f>IFERROR(TEXTJOIN(", ",TRUE,FILTER(Signup!$A$4:$A$21,Signup!$J$4:$J$21="D")),"")</f>
        <v/>
      </c>
    </row>
    <row r="48">
      <c r="A48" s="16" t="inlineStr">
        <is>
          <t>FIELD EVENTS</t>
        </is>
      </c>
    </row>
    <row r="49">
      <c r="A49" s="20" t="inlineStr">
        <is>
          <t>4x Shot Put (6 lb provided)</t>
        </is>
      </c>
    </row>
    <row r="50">
      <c r="A50" s="18" t="inlineStr">
        <is>
          <t>Team A</t>
        </is>
      </c>
      <c r="B50" s="19">
        <f>IFERROR(TEXTJOIN(", ",TRUE,FILTER(Signup!$A$4:$A$21,Signup!$K$4:$K$21="A")),"")</f>
        <v/>
      </c>
    </row>
    <row r="51">
      <c r="A51" s="18" t="inlineStr">
        <is>
          <t>Team B</t>
        </is>
      </c>
      <c r="B51" s="19">
        <f>IFERROR(TEXTJOIN(", ",TRUE,FILTER(Signup!$A$4:$A$21,Signup!$K$4:$K$21="B")),"")</f>
        <v/>
      </c>
    </row>
    <row r="52">
      <c r="A52" s="18" t="inlineStr">
        <is>
          <t>Team C</t>
        </is>
      </c>
      <c r="B52" s="19">
        <f>IFERROR(TEXTJOIN(", ",TRUE,FILTER(Signup!$A$4:$A$21,Signup!$K$4:$K$21="C")),"")</f>
        <v/>
      </c>
    </row>
    <row r="53">
      <c r="A53" s="18" t="inlineStr">
        <is>
          <t>Team D</t>
        </is>
      </c>
      <c r="B53" s="19">
        <f>IFERROR(TEXTJOIN(", ",TRUE,FILTER(Signup!$A$4:$A$21,Signup!$K$4:$K$21="D")),"")</f>
        <v/>
      </c>
    </row>
    <row r="55">
      <c r="A55" s="20" t="inlineStr">
        <is>
          <t>4x Discus (1 kg provided)</t>
        </is>
      </c>
    </row>
    <row r="56">
      <c r="A56" s="18" t="inlineStr">
        <is>
          <t>Team A</t>
        </is>
      </c>
      <c r="B56" s="19">
        <f>IFERROR(TEXTJOIN(", ",TRUE,FILTER(Signup!$A$4:$A$21,Signup!$L$4:$L$21="A")),"")</f>
        <v/>
      </c>
    </row>
    <row r="57">
      <c r="A57" s="18" t="inlineStr">
        <is>
          <t>Team B</t>
        </is>
      </c>
      <c r="B57" s="19">
        <f>IFERROR(TEXTJOIN(", ",TRUE,FILTER(Signup!$A$4:$A$21,Signup!$L$4:$L$21="B")),"")</f>
        <v/>
      </c>
    </row>
    <row r="58">
      <c r="A58" s="18" t="inlineStr">
        <is>
          <t>Team C</t>
        </is>
      </c>
      <c r="B58" s="19">
        <f>IFERROR(TEXTJOIN(", ",TRUE,FILTER(Signup!$A$4:$A$21,Signup!$L$4:$L$21="C")),"")</f>
        <v/>
      </c>
    </row>
    <row r="59">
      <c r="A59" s="18" t="inlineStr">
        <is>
          <t>Team D</t>
        </is>
      </c>
      <c r="B59" s="19">
        <f>IFERROR(TEXTJOIN(", ",TRUE,FILTER(Signup!$A$4:$A$21,Signup!$L$4:$L$21="D")),"")</f>
        <v/>
      </c>
    </row>
    <row r="61">
      <c r="A61" s="20" t="inlineStr">
        <is>
          <t>4x Long Jump</t>
        </is>
      </c>
    </row>
    <row r="62">
      <c r="A62" s="18" t="inlineStr">
        <is>
          <t>Team A</t>
        </is>
      </c>
      <c r="B62" s="19">
        <f>IFERROR(TEXTJOIN(", ",TRUE,FILTER(Signup!$A$4:$A$21,Signup!$M$4:$M$21="A")),"")</f>
        <v/>
      </c>
    </row>
    <row r="63">
      <c r="A63" s="18" t="inlineStr">
        <is>
          <t>Team B</t>
        </is>
      </c>
      <c r="B63" s="19">
        <f>IFERROR(TEXTJOIN(", ",TRUE,FILTER(Signup!$A$4:$A$21,Signup!$M$4:$M$21="B")),"")</f>
        <v/>
      </c>
    </row>
    <row r="64">
      <c r="A64" s="18" t="inlineStr">
        <is>
          <t>Team C</t>
        </is>
      </c>
      <c r="B64" s="19">
        <f>IFERROR(TEXTJOIN(", ",TRUE,FILTER(Signup!$A$4:$A$21,Signup!$M$4:$M$21="C")),"")</f>
        <v/>
      </c>
    </row>
    <row r="65">
      <c r="A65" s="18" t="inlineStr">
        <is>
          <t>Team D</t>
        </is>
      </c>
      <c r="B65" s="19">
        <f>IFERROR(TEXTJOIN(", ",TRUE,FILTER(Signup!$A$4:$A$21,Signup!$M$4:$M$21="D")),"")</f>
        <v/>
      </c>
    </row>
  </sheetData>
  <mergeCells count="13">
    <mergeCell ref="A4:B4"/>
    <mergeCell ref="A48:B48"/>
    <mergeCell ref="A55:B55"/>
    <mergeCell ref="A16:B16"/>
    <mergeCell ref="A49:B49"/>
    <mergeCell ref="A61:B61"/>
    <mergeCell ref="A10:B10"/>
    <mergeCell ref="A28:B28"/>
    <mergeCell ref="A42:B42"/>
    <mergeCell ref="A1:B1"/>
    <mergeCell ref="A3:B3"/>
    <mergeCell ref="A22:B22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2026-05-12T13:32:22Z</dcterms:created>
  <dcterms:modified xsi:type="dcterms:W3CDTF">2026-05-12T13:32:22Z</dcterms:modified>
</cp:coreProperties>
</file>