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oster" sheetId="2" r:id="rId5"/>
    <sheet state="visible" name="Signup" sheetId="3" r:id="rId6"/>
    <sheet state="visible" name="By Event" sheetId="4" r:id="rId7"/>
  </sheets>
  <definedNames/>
  <calcPr/>
  <extLst>
    <ext uri="GoogleSheetsCustomDataVersion2">
      <go:sheetsCustomData xmlns:go="http://customooxmlschemas.google.com/" r:id="rId8" roundtripDataChecksum="9AYmtGvMokuJGIJIntjegvdH73p/c5d2QrOIkW2aKV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======
ID#AAAB6HAuR2k
YA Track    (2026-05-12 13:34:14)
4x800m Relay</t>
      </text>
    </comment>
    <comment authorId="0" ref="H3">
      <text>
        <t xml:space="preserve">======
ID#AAAB6HAuR2g
YA Track    (2026-05-12 13:34:14)
4x200m Relay</t>
      </text>
    </comment>
    <comment authorId="0" ref="I3">
      <text>
        <t xml:space="preserve">======
ID#AAAB6HAuR2c
YA Track    (2026-05-12 13:34:14)
Elimination Race</t>
      </text>
    </comment>
    <comment authorId="0" ref="J3">
      <text>
        <t xml:space="preserve">======
ID#AAAB6HAuR2U
YA Track    (2026-05-12 13:34:14)
4x400m Relay</t>
      </text>
    </comment>
    <comment authorId="0" ref="K3">
      <text>
        <t xml:space="preserve">======
ID#AAAB6HAuR2Q
YA Track    (2026-05-12 13:34:14)
4x Shot Put (6 lb provided)</t>
      </text>
    </comment>
    <comment authorId="0" ref="E3">
      <text>
        <t xml:space="preserve">======
ID#AAAB6HAuR2M
YA Track    (2026-05-12 13:34:14)
Distance Medley Relay (1200-400-800-1600)</t>
      </text>
    </comment>
    <comment authorId="0" ref="M3">
      <text>
        <t xml:space="preserve">======
ID#AAAB6HAuR2Y
YA Track    (2026-05-12 13:34:14)
4x Long Jump</t>
      </text>
    </comment>
    <comment authorId="0" ref="F3">
      <text>
        <t xml:space="preserve">======
ID#AAAB6HAuR2E
YA Track    (2026-05-12 13:34:14)
Sprint Medley Relay (100-100-200-400)</t>
      </text>
    </comment>
    <comment authorId="0" ref="D3">
      <text>
        <t xml:space="preserve">======
ID#AAAB6HAuR2A
YA Track    (2026-05-12 13:34:14)
4x100m Relay</t>
      </text>
    </comment>
    <comment authorId="0" ref="L3">
      <text>
        <t xml:space="preserve">======
ID#AAAB6HAuR2I
YA Track    (2026-05-12 13:34:14)
4x Discus (1 kg provided)</t>
      </text>
    </comment>
  </commentList>
  <extLst>
    <ext uri="GoogleSheetsCustomDataVersion2">
      <go:sheetsCustomData xmlns:go="http://customooxmlschemas.google.com/" r:id="rId1" roundtripDataSignature="AMtx7mg81wWt7BR9QpLM36yORrycBCBbIw=="/>
    </ext>
  </extLst>
</comments>
</file>

<file path=xl/sharedStrings.xml><?xml version="1.0" encoding="utf-8"?>
<sst xmlns="http://schemas.openxmlformats.org/spreadsheetml/2006/main" count="174" uniqueCount="114">
  <si>
    <t>Yinghua Track — TCGIS Muddy Water Relays Event Signup</t>
  </si>
  <si>
    <t>Friday, May 15, 2026 · arrive 5:00 PM · meet starts 5:45 PM · Concordia Academy (no bus)</t>
  </si>
  <si>
    <t>How to use</t>
  </si>
  <si>
    <t xml:space="preserve">  1. ROSTER tab — pre-filtered to athletes who said YES on the parent attendance form.</t>
  </si>
  <si>
    <t xml:space="preserve">  2. SIGNUP tab — type into the event columns:</t>
  </si>
  <si>
    <t xml:space="preserve">       • X = entered in this individual event</t>
  </si>
  <si>
    <t xml:space="preserve">       • A or B or C or D = relay team letter</t>
  </si>
  <si>
    <t xml:space="preserve">       Leave cells blank if the athlete isn't doing that event.</t>
  </si>
  <si>
    <t xml:space="preserve">  3. Right-side Summary auto-counts and flags any athlete over 4 events.</t>
  </si>
  <si>
    <t xml:space="preserve">  4. BY EVENT tab — auto-populated heat sheet, printable for the meet.</t>
  </si>
  <si>
    <t>Rules</t>
  </si>
  <si>
    <t xml:space="preserve">  • Max 4 events per athlete (combined running + field).</t>
  </si>
  <si>
    <t xml:space="preserve">  • Almost every event is a 4-person RELAY. Field event relays = 4 athletes, 3 attempts each, best mark per athlete added.</t>
  </si>
  <si>
    <t xml:space="preserve">  • Elimination Race is the only individual track event.</t>
  </si>
  <si>
    <t xml:space="preserve">  • Up to 4 relay teams per event allowed; only the first 2 score per the host's rules.</t>
  </si>
  <si>
    <t xml:space="preserve">  • Athletes are responsible for arriving at their events on time — no announcements.</t>
  </si>
  <si>
    <t xml:space="preserve">  • Host provides 6 lb shots and 1 kg discs. Bring batons.</t>
  </si>
  <si>
    <t xml:space="preserve">  • Scoring: 1st = 10 pts down to 10th = 1 pt. Boys and girls scored separately.</t>
  </si>
  <si>
    <t>Roster — 15 athletes attending TCGIS Muddy Water Relays</t>
  </si>
  <si>
    <t>Name</t>
  </si>
  <si>
    <t>Grade</t>
  </si>
  <si>
    <t>Gender</t>
  </si>
  <si>
    <t>Reuben Addington</t>
  </si>
  <si>
    <t>M</t>
  </si>
  <si>
    <t>Grayson Chon</t>
  </si>
  <si>
    <t>Jace Euphosin</t>
  </si>
  <si>
    <t>Elyse Folbrecht</t>
  </si>
  <si>
    <t>F</t>
  </si>
  <si>
    <t>Walter Folbrecht</t>
  </si>
  <si>
    <t>Gabriella Gruber</t>
  </si>
  <si>
    <t>Louie Herman</t>
  </si>
  <si>
    <t>Ben Hinrichs</t>
  </si>
  <si>
    <t>Brighton Balk Mmary</t>
  </si>
  <si>
    <t>Amelia Roddy</t>
  </si>
  <si>
    <t>Liv Romsaas</t>
  </si>
  <si>
    <t>Frank Ryan</t>
  </si>
  <si>
    <t>Charlotte Saeger</t>
  </si>
  <si>
    <t>Otto Terhark</t>
  </si>
  <si>
    <t>Ethan Tschida</t>
  </si>
  <si>
    <t>TCGIS Muddy Water Relays — Athlete Event Signup</t>
  </si>
  <si>
    <t>RUNNING EVENTS (X, or A/B/C/D for relays)</t>
  </si>
  <si>
    <t>FIELD EVENTS (X, or A/B/C/D for relays)</t>
  </si>
  <si>
    <t>SUMMARY</t>
  </si>
  <si>
    <t>4x100</t>
  </si>
  <si>
    <t>DMR</t>
  </si>
  <si>
    <t>SMR</t>
  </si>
  <si>
    <t>4x800</t>
  </si>
  <si>
    <t>4x200</t>
  </si>
  <si>
    <t>ELIM</t>
  </si>
  <si>
    <t>4x400</t>
  </si>
  <si>
    <t>4xSP</t>
  </si>
  <si>
    <t>4xDISC</t>
  </si>
  <si>
    <t>4xLJ</t>
  </si>
  <si>
    <t>Run #</t>
  </si>
  <si>
    <t>Field #</t>
  </si>
  <si>
    <t>Total</t>
  </si>
  <si>
    <t>Valid?</t>
  </si>
  <si>
    <t>notes</t>
  </si>
  <si>
    <t>400 or under</t>
  </si>
  <si>
    <t>4x 100, 400 in dmr, can only participate in the first 3 events (leave early)</t>
  </si>
  <si>
    <t>A</t>
  </si>
  <si>
    <t>400 or  under, only one 400</t>
  </si>
  <si>
    <t>800, 1600, 1200</t>
  </si>
  <si>
    <t>200 or under</t>
  </si>
  <si>
    <t>Anything</t>
  </si>
  <si>
    <t>Anything, but 400 or less better</t>
  </si>
  <si>
    <t>400 or less</t>
  </si>
  <si>
    <t>Distance med 1600, 800, elim</t>
  </si>
  <si>
    <t>100, 200, or 400</t>
  </si>
  <si>
    <t xml:space="preserve">200, 100, 800, </t>
  </si>
  <si>
    <t xml:space="preserve">Devin Lindquist </t>
  </si>
  <si>
    <t>Amen</t>
  </si>
  <si>
    <t>800 or under</t>
  </si>
  <si>
    <t xml:space="preserve">Avinash </t>
  </si>
  <si>
    <t xml:space="preserve">Anything </t>
  </si>
  <si>
    <t>Harper</t>
  </si>
  <si>
    <t>100, 200</t>
  </si>
  <si>
    <t>Perrin Light-haberstroh</t>
  </si>
  <si>
    <t>A - 200m</t>
  </si>
  <si>
    <t>Under 400</t>
  </si>
  <si>
    <t>A - 1600</t>
  </si>
  <si>
    <t>1600 in dmr and 400 in 4x400</t>
  </si>
  <si>
    <t>Nathan</t>
  </si>
  <si>
    <t>X</t>
  </si>
  <si>
    <t>4x 100 , maybe smr, can only participate in the first 3 events (leave early)</t>
  </si>
  <si>
    <t>Hudson</t>
  </si>
  <si>
    <t>100,  can only participate in the first 3 events (leave early)</t>
  </si>
  <si>
    <t>Cooper</t>
  </si>
  <si>
    <t>100, 400,  can only participate in the first 3 events (leave early)</t>
  </si>
  <si>
    <t>Thea</t>
  </si>
  <si>
    <t>100 or 200</t>
  </si>
  <si>
    <t>By Event — TCGIS Muddy Water Relays (auto-populated heat sheet)</t>
  </si>
  <si>
    <t>RUNNING EVENTS</t>
  </si>
  <si>
    <t>4x100m Relay</t>
  </si>
  <si>
    <t>Team A</t>
  </si>
  <si>
    <t>Team B</t>
  </si>
  <si>
    <t>Team C</t>
  </si>
  <si>
    <t>Team D</t>
  </si>
  <si>
    <t>Distance Medley Relay (1200-400-800-1600)</t>
  </si>
  <si>
    <t>Sprint Medley Relay (100-100-200-400)</t>
  </si>
  <si>
    <t>4x800m Relay</t>
  </si>
  <si>
    <t>4x200m Relay</t>
  </si>
  <si>
    <t>Elimination Race</t>
  </si>
  <si>
    <t>6/7 Girls</t>
  </si>
  <si>
    <t>8 Girls</t>
  </si>
  <si>
    <t>6/7 Boys</t>
  </si>
  <si>
    <t>8 Boys</t>
  </si>
  <si>
    <t>5th Grade Girls</t>
  </si>
  <si>
    <t>5th Grade Boys</t>
  </si>
  <si>
    <t>4x400m Relay</t>
  </si>
  <si>
    <t>FIELD EVENTS</t>
  </si>
  <si>
    <t>4x Shot Put (6 lb provided)</t>
  </si>
  <si>
    <t>4x Discus (1 kg provided)</t>
  </si>
  <si>
    <t>4x Long Jump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</si>
</sst>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>
      <i/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0.0"/>
      <color theme="1"/>
      <name val="Calibri"/>
      <scheme val="minor"/>
    </font>
    <font>
      <b/>
      <sz val="11.0"/>
      <color theme="1"/>
      <name val="Calibri"/>
      <scheme val="minor"/>
    </font>
    <font/>
    <font>
      <b/>
      <sz val="10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90E1D"/>
        <bgColor rgb="FF790E1D"/>
      </patternFill>
    </fill>
    <fill>
      <patternFill patternType="solid">
        <fgColor rgb="FFFFD700"/>
        <bgColor rgb="FFFFD700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2B6CB0"/>
        <bgColor rgb="FF2B6CB0"/>
      </patternFill>
    </fill>
    <fill>
      <patternFill patternType="solid">
        <fgColor rgb="FFD69E2E"/>
        <bgColor rgb="FFD69E2E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vertical="center"/>
    </xf>
    <xf borderId="3" fillId="0" fontId="7" numFmtId="0" xfId="0" applyBorder="1" applyFont="1"/>
    <xf borderId="4" fillId="0" fontId="7" numFmtId="0" xfId="0" applyBorder="1" applyFont="1"/>
    <xf borderId="5" fillId="3" fontId="8" numFmtId="0" xfId="0" applyAlignment="1" applyBorder="1" applyFill="1" applyFont="1">
      <alignment horizontal="center" vertical="center"/>
    </xf>
    <xf borderId="5" fillId="0" fontId="2" numFmtId="0" xfId="0" applyBorder="1" applyFont="1"/>
    <xf borderId="5" fillId="0" fontId="2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5" fillId="4" fontId="8" numFmtId="0" xfId="0" applyAlignment="1" applyBorder="1" applyFill="1" applyFont="1">
      <alignment horizontal="center" vertical="center"/>
    </xf>
    <xf borderId="5" fillId="5" fontId="8" numFmtId="0" xfId="0" applyAlignment="1" applyBorder="1" applyFill="1" applyFont="1">
      <alignment horizontal="center" vertical="center"/>
    </xf>
    <xf borderId="5" fillId="6" fontId="8" numFmtId="0" xfId="0" applyAlignment="1" applyBorder="1" applyFill="1" applyFont="1">
      <alignment horizontal="center" vertical="center"/>
    </xf>
    <xf borderId="0" fillId="0" fontId="10" numFmtId="0" xfId="0" applyAlignment="1" applyFont="1">
      <alignment readingOrder="0"/>
    </xf>
    <xf borderId="5" fillId="6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/>
    </xf>
    <xf borderId="2" fillId="2" fontId="9" numFmtId="0" xfId="0" applyAlignment="1" applyBorder="1" applyFont="1">
      <alignment horizontal="left" vertical="center"/>
    </xf>
    <xf borderId="2" fillId="7" fontId="9" numFmtId="0" xfId="0" applyAlignment="1" applyBorder="1" applyFill="1" applyFont="1">
      <alignment horizontal="left" vertical="center"/>
    </xf>
    <xf borderId="5" fillId="0" fontId="11" numFmtId="0" xfId="0" applyAlignment="1" applyBorder="1" applyFont="1">
      <alignment horizontal="left"/>
    </xf>
    <xf borderId="5" fillId="0" fontId="2" numFmtId="0" xfId="0" applyAlignment="1" applyBorder="1" applyFont="1">
      <alignment horizontal="left" shrinkToFit="0" vertical="center" wrapText="1"/>
    </xf>
    <xf borderId="2" fillId="8" fontId="9" numFmtId="0" xfId="0" applyAlignment="1" applyBorder="1" applyFill="1" applyFont="1">
      <alignment horizontal="left" vertical="center"/>
    </xf>
  </cellXfs>
  <cellStyles count="1">
    <cellStyle xfId="0" name="Normal" builtinId="0"/>
  </cellStyles>
  <dxfs count="3">
    <dxf>
      <font>
        <b/>
        <color rgb="FFC62828"/>
      </font>
      <fill>
        <patternFill patternType="solid">
          <fgColor rgb="FFFFCDD2"/>
          <bgColor rgb="FFFFCDD2"/>
        </patternFill>
      </fill>
      <border/>
    </dxf>
    <dxf>
      <font>
        <b/>
        <color rgb="FF8A6D00"/>
      </font>
      <fill>
        <patternFill patternType="solid">
          <fgColor rgb="FFFFF3CD"/>
          <bgColor rgb="FFFFF3CD"/>
        </patternFill>
      </fill>
      <border/>
    </dxf>
    <dxf>
      <font>
        <b/>
        <color rgb="FF2E7D32"/>
      </font>
      <fill>
        <patternFill patternType="solid">
          <fgColor rgb="FFC8E6C9"/>
          <bgColor rgb="FFC8E6C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7.75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5" t="s">
        <v>3</v>
      </c>
    </row>
    <row r="7">
      <c r="A7" s="5" t="s">
        <v>4</v>
      </c>
    </row>
    <row r="8">
      <c r="A8" s="5" t="s">
        <v>5</v>
      </c>
    </row>
    <row r="9">
      <c r="A9" s="5" t="s">
        <v>6</v>
      </c>
    </row>
    <row r="10">
      <c r="A10" s="5" t="s">
        <v>7</v>
      </c>
    </row>
    <row r="11">
      <c r="A11" s="5" t="s">
        <v>8</v>
      </c>
    </row>
    <row r="12">
      <c r="A12" s="5" t="s">
        <v>9</v>
      </c>
    </row>
    <row r="13">
      <c r="A13" s="2"/>
    </row>
    <row r="14">
      <c r="A14" s="6" t="s">
        <v>10</v>
      </c>
    </row>
    <row r="15">
      <c r="A15" s="5" t="s">
        <v>11</v>
      </c>
    </row>
    <row r="16">
      <c r="A16" s="2"/>
    </row>
    <row r="17">
      <c r="A17" s="5" t="s">
        <v>12</v>
      </c>
    </row>
    <row r="18">
      <c r="A18" s="5" t="s">
        <v>13</v>
      </c>
    </row>
    <row r="19">
      <c r="A19" s="5" t="s">
        <v>14</v>
      </c>
    </row>
    <row r="20">
      <c r="A20" s="5" t="s">
        <v>15</v>
      </c>
    </row>
    <row r="21" ht="15.75" customHeight="1">
      <c r="A21" s="5" t="s">
        <v>16</v>
      </c>
    </row>
    <row r="22" ht="15.75" customHeight="1">
      <c r="A22" s="5" t="s">
        <v>17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8.0"/>
    <col customWidth="1" min="4" max="26" width="8.71"/>
  </cols>
  <sheetData>
    <row r="1" ht="21.75" customHeight="1">
      <c r="A1" s="7" t="s">
        <v>18</v>
      </c>
      <c r="B1" s="8"/>
      <c r="C1" s="9"/>
    </row>
    <row r="2">
      <c r="A2" s="10" t="s">
        <v>19</v>
      </c>
      <c r="B2" s="10" t="s">
        <v>20</v>
      </c>
      <c r="C2" s="10" t="s">
        <v>21</v>
      </c>
    </row>
    <row r="3">
      <c r="A3" s="11" t="s">
        <v>22</v>
      </c>
      <c r="B3" s="12">
        <v>6.0</v>
      </c>
      <c r="C3" s="12" t="s">
        <v>23</v>
      </c>
    </row>
    <row r="4">
      <c r="A4" s="11" t="s">
        <v>24</v>
      </c>
      <c r="B4" s="12">
        <v>7.0</v>
      </c>
      <c r="C4" s="12" t="s">
        <v>23</v>
      </c>
    </row>
    <row r="5">
      <c r="A5" s="11" t="s">
        <v>25</v>
      </c>
      <c r="B5" s="12">
        <v>5.0</v>
      </c>
      <c r="C5" s="12" t="s">
        <v>23</v>
      </c>
    </row>
    <row r="6">
      <c r="A6" s="11" t="s">
        <v>26</v>
      </c>
      <c r="B6" s="12">
        <v>6.0</v>
      </c>
      <c r="C6" s="12" t="s">
        <v>27</v>
      </c>
    </row>
    <row r="7">
      <c r="A7" s="11" t="s">
        <v>28</v>
      </c>
      <c r="B7" s="12">
        <v>5.0</v>
      </c>
      <c r="C7" s="12" t="s">
        <v>23</v>
      </c>
    </row>
    <row r="8">
      <c r="A8" s="11" t="s">
        <v>29</v>
      </c>
      <c r="B8" s="12">
        <v>5.0</v>
      </c>
      <c r="C8" s="12" t="s">
        <v>27</v>
      </c>
    </row>
    <row r="9">
      <c r="A9" s="11" t="s">
        <v>30</v>
      </c>
      <c r="B9" s="12">
        <v>5.0</v>
      </c>
      <c r="C9" s="12" t="s">
        <v>23</v>
      </c>
    </row>
    <row r="10">
      <c r="A10" s="11" t="s">
        <v>31</v>
      </c>
      <c r="B10" s="12">
        <v>8.0</v>
      </c>
      <c r="C10" s="12" t="s">
        <v>23</v>
      </c>
    </row>
    <row r="11">
      <c r="A11" s="11" t="s">
        <v>32</v>
      </c>
      <c r="B11" s="12">
        <v>5.0</v>
      </c>
      <c r="C11" s="12" t="s">
        <v>23</v>
      </c>
    </row>
    <row r="12">
      <c r="A12" s="11" t="s">
        <v>33</v>
      </c>
      <c r="B12" s="12">
        <v>6.0</v>
      </c>
      <c r="C12" s="12" t="s">
        <v>27</v>
      </c>
    </row>
    <row r="13">
      <c r="A13" s="11" t="s">
        <v>34</v>
      </c>
      <c r="B13" s="12">
        <v>5.0</v>
      </c>
      <c r="C13" s="12" t="s">
        <v>27</v>
      </c>
    </row>
    <row r="14">
      <c r="A14" s="11" t="s">
        <v>35</v>
      </c>
      <c r="B14" s="12">
        <v>5.0</v>
      </c>
      <c r="C14" s="12" t="s">
        <v>23</v>
      </c>
    </row>
    <row r="15">
      <c r="A15" s="11" t="s">
        <v>36</v>
      </c>
      <c r="B15" s="12">
        <v>5.0</v>
      </c>
      <c r="C15" s="12" t="s">
        <v>27</v>
      </c>
    </row>
    <row r="16">
      <c r="A16" s="11" t="s">
        <v>37</v>
      </c>
      <c r="B16" s="12">
        <v>5.0</v>
      </c>
      <c r="C16" s="12" t="s">
        <v>23</v>
      </c>
    </row>
    <row r="17">
      <c r="A17" s="11" t="s">
        <v>38</v>
      </c>
      <c r="B17" s="12">
        <v>6.0</v>
      </c>
      <c r="C17" s="12" t="s">
        <v>23</v>
      </c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6.0"/>
    <col customWidth="1" min="2" max="2" width="7.0"/>
    <col customWidth="1" min="3" max="14" width="8.0"/>
    <col customWidth="1" min="15" max="15" width="9.0"/>
    <col customWidth="1" min="16" max="16" width="8.0"/>
    <col customWidth="1" min="17" max="17" width="22.0"/>
    <col customWidth="1" min="18" max="26" width="8.71"/>
  </cols>
  <sheetData>
    <row r="1" ht="21.75" customHeight="1">
      <c r="A1" s="7" t="s">
        <v>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>
      <c r="D2" s="13" t="s">
        <v>40</v>
      </c>
      <c r="E2" s="8"/>
      <c r="F2" s="8"/>
      <c r="G2" s="8"/>
      <c r="H2" s="8"/>
      <c r="I2" s="8"/>
      <c r="J2" s="9"/>
      <c r="K2" s="13" t="s">
        <v>41</v>
      </c>
      <c r="L2" s="8"/>
      <c r="M2" s="9"/>
      <c r="N2" s="13" t="s">
        <v>42</v>
      </c>
      <c r="O2" s="8"/>
      <c r="P2" s="8"/>
      <c r="Q2" s="9"/>
    </row>
    <row r="3">
      <c r="A3" s="10" t="s">
        <v>19</v>
      </c>
      <c r="B3" s="10" t="s">
        <v>20</v>
      </c>
      <c r="C3" s="10" t="s">
        <v>21</v>
      </c>
      <c r="D3" s="14" t="s">
        <v>43</v>
      </c>
      <c r="E3" s="14" t="s">
        <v>44</v>
      </c>
      <c r="F3" s="14" t="s">
        <v>45</v>
      </c>
      <c r="G3" s="14" t="s">
        <v>46</v>
      </c>
      <c r="H3" s="14" t="s">
        <v>47</v>
      </c>
      <c r="I3" s="14" t="s">
        <v>48</v>
      </c>
      <c r="J3" s="14" t="s">
        <v>49</v>
      </c>
      <c r="K3" s="15" t="s">
        <v>50</v>
      </c>
      <c r="L3" s="15" t="s">
        <v>51</v>
      </c>
      <c r="M3" s="15" t="s">
        <v>52</v>
      </c>
      <c r="N3" s="16" t="s">
        <v>53</v>
      </c>
      <c r="O3" s="16" t="s">
        <v>54</v>
      </c>
      <c r="P3" s="16" t="s">
        <v>55</v>
      </c>
      <c r="Q3" s="16" t="s">
        <v>56</v>
      </c>
      <c r="R3" s="17" t="s">
        <v>57</v>
      </c>
    </row>
    <row r="4">
      <c r="A4" s="11" t="str">
        <f>IF(Roster!A3="","",Roster!A3)</f>
        <v>Reuben Addington</v>
      </c>
      <c r="B4" s="12">
        <f>IF(Roster!B3="","",Roster!B3)</f>
        <v>6</v>
      </c>
      <c r="C4" s="12" t="str">
        <f>IF(Roster!C3="","",Roster!C3)</f>
        <v>M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8">
        <f t="shared" ref="N4:N37" si="1">IF(A4="","",COUNTA(D4:J4))</f>
        <v>0</v>
      </c>
      <c r="O4" s="18">
        <f t="shared" ref="O4:O37" si="2">IF(A4="","",COUNTA(K4:M4))</f>
        <v>0</v>
      </c>
      <c r="P4" s="18">
        <f t="shared" ref="P4:P37" si="3">IF(A4="","",N4+O4)</f>
        <v>0</v>
      </c>
      <c r="Q4" s="18" t="str">
        <f t="shared" ref="Q4:Q37" si="4">IF(A4="","",IF(P4=0,"",IF(P4&gt;4,"❌ Over 4 events",IF(AND(P4=4,NOT(OR(AND(N4=3,O4=1),AND(N4=1,O4=3)))),"⚠ Must be 3+1 or 1+3","✓ OK"))))</f>
        <v/>
      </c>
      <c r="R4" s="17" t="s">
        <v>58</v>
      </c>
    </row>
    <row r="5">
      <c r="A5" s="11" t="str">
        <f>IF(Roster!A4="","",Roster!A4)</f>
        <v>Grayson Chon</v>
      </c>
      <c r="B5" s="12">
        <f>IF(Roster!B4="","",Roster!B4)</f>
        <v>7</v>
      </c>
      <c r="C5" s="12" t="str">
        <f>IF(Roster!C4="","",Roster!C4)</f>
        <v>M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8">
        <f t="shared" si="1"/>
        <v>0</v>
      </c>
      <c r="O5" s="18">
        <f t="shared" si="2"/>
        <v>0</v>
      </c>
      <c r="P5" s="18">
        <f t="shared" si="3"/>
        <v>0</v>
      </c>
      <c r="Q5" s="18" t="str">
        <f t="shared" si="4"/>
        <v/>
      </c>
      <c r="R5" s="17" t="s">
        <v>59</v>
      </c>
    </row>
    <row r="6">
      <c r="A6" s="11" t="str">
        <f>IF(Roster!A5="","",Roster!A5)</f>
        <v>Jace Euphosin</v>
      </c>
      <c r="B6" s="12">
        <f>IF(Roster!B5="","",Roster!B5)</f>
        <v>5</v>
      </c>
      <c r="C6" s="12" t="str">
        <f>IF(Roster!C5="","",Roster!C5)</f>
        <v>M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8">
        <f t="shared" si="1"/>
        <v>0</v>
      </c>
      <c r="O6" s="18">
        <f t="shared" si="2"/>
        <v>0</v>
      </c>
      <c r="P6" s="18">
        <f t="shared" si="3"/>
        <v>0</v>
      </c>
      <c r="Q6" s="18" t="str">
        <f t="shared" si="4"/>
        <v/>
      </c>
      <c r="R6" s="17" t="s">
        <v>58</v>
      </c>
    </row>
    <row r="7">
      <c r="A7" s="11" t="str">
        <f>IF(Roster!A6="","",Roster!A6)</f>
        <v>Elyse Folbrecht</v>
      </c>
      <c r="B7" s="12">
        <f>IF(Roster!B6="","",Roster!B6)</f>
        <v>6</v>
      </c>
      <c r="C7" s="12" t="str">
        <f>IF(Roster!C6="","",Roster!C6)</f>
        <v>F</v>
      </c>
      <c r="D7" s="19" t="s">
        <v>60</v>
      </c>
      <c r="E7" s="12"/>
      <c r="F7" s="12"/>
      <c r="G7" s="12"/>
      <c r="H7" s="12"/>
      <c r="I7" s="12"/>
      <c r="J7" s="19" t="s">
        <v>60</v>
      </c>
      <c r="K7" s="12"/>
      <c r="L7" s="12"/>
      <c r="M7" s="12"/>
      <c r="N7" s="18">
        <f t="shared" si="1"/>
        <v>2</v>
      </c>
      <c r="O7" s="18">
        <f t="shared" si="2"/>
        <v>0</v>
      </c>
      <c r="P7" s="18">
        <f t="shared" si="3"/>
        <v>2</v>
      </c>
      <c r="Q7" s="18" t="str">
        <f t="shared" si="4"/>
        <v>✓ OK</v>
      </c>
      <c r="R7" s="17" t="s">
        <v>61</v>
      </c>
    </row>
    <row r="8">
      <c r="A8" s="11" t="str">
        <f>IF(Roster!A7="","",Roster!A7)</f>
        <v>Walter Folbrecht</v>
      </c>
      <c r="B8" s="12">
        <f>IF(Roster!B7="","",Roster!B7)</f>
        <v>5</v>
      </c>
      <c r="C8" s="12" t="str">
        <f>IF(Roster!C7="","",Roster!C7)</f>
        <v>M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8">
        <f t="shared" si="1"/>
        <v>0</v>
      </c>
      <c r="O8" s="18">
        <f t="shared" si="2"/>
        <v>0</v>
      </c>
      <c r="P8" s="18">
        <f t="shared" si="3"/>
        <v>0</v>
      </c>
      <c r="Q8" s="18" t="str">
        <f t="shared" si="4"/>
        <v/>
      </c>
      <c r="R8" s="17" t="s">
        <v>62</v>
      </c>
    </row>
    <row r="9">
      <c r="A9" s="11" t="str">
        <f>IF(Roster!A8="","",Roster!A8)</f>
        <v>Gabriella Gruber</v>
      </c>
      <c r="B9" s="12">
        <f>IF(Roster!B8="","",Roster!B8)</f>
        <v>5</v>
      </c>
      <c r="C9" s="12" t="str">
        <f>IF(Roster!C8="","",Roster!C8)</f>
        <v>F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8">
        <f t="shared" si="1"/>
        <v>0</v>
      </c>
      <c r="O9" s="18">
        <f t="shared" si="2"/>
        <v>0</v>
      </c>
      <c r="P9" s="18">
        <f t="shared" si="3"/>
        <v>0</v>
      </c>
      <c r="Q9" s="18" t="str">
        <f t="shared" si="4"/>
        <v/>
      </c>
      <c r="R9" s="17" t="s">
        <v>63</v>
      </c>
    </row>
    <row r="10">
      <c r="A10" s="11" t="str">
        <f>IF(Roster!A9="","",Roster!A9)</f>
        <v>Louie Herman</v>
      </c>
      <c r="B10" s="12">
        <f>IF(Roster!B9="","",Roster!B9)</f>
        <v>5</v>
      </c>
      <c r="C10" s="12" t="str">
        <f>IF(Roster!C9="","",Roster!C9)</f>
        <v>M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>
        <f t="shared" si="1"/>
        <v>0</v>
      </c>
      <c r="O10" s="18">
        <f t="shared" si="2"/>
        <v>0</v>
      </c>
      <c r="P10" s="18">
        <f t="shared" si="3"/>
        <v>0</v>
      </c>
      <c r="Q10" s="18" t="str">
        <f t="shared" si="4"/>
        <v/>
      </c>
      <c r="R10" s="17" t="s">
        <v>64</v>
      </c>
    </row>
    <row r="11">
      <c r="A11" s="11" t="str">
        <f>IF(Roster!A10="","",Roster!A10)</f>
        <v>Ben Hinrichs</v>
      </c>
      <c r="B11" s="12">
        <f>IF(Roster!B10="","",Roster!B10)</f>
        <v>8</v>
      </c>
      <c r="C11" s="12" t="str">
        <f>IF(Roster!C10="","",Roster!C10)</f>
        <v>M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8">
        <f t="shared" si="1"/>
        <v>0</v>
      </c>
      <c r="O11" s="18">
        <f t="shared" si="2"/>
        <v>0</v>
      </c>
      <c r="P11" s="18">
        <f t="shared" si="3"/>
        <v>0</v>
      </c>
      <c r="Q11" s="18" t="str">
        <f t="shared" si="4"/>
        <v/>
      </c>
      <c r="R11" s="17" t="s">
        <v>65</v>
      </c>
    </row>
    <row r="12">
      <c r="A12" s="11" t="str">
        <f>IF(Roster!A11="","",Roster!A11)</f>
        <v>Brighton Balk Mmary</v>
      </c>
      <c r="B12" s="12">
        <f>IF(Roster!B11="","",Roster!B11)</f>
        <v>5</v>
      </c>
      <c r="C12" s="12" t="str">
        <f>IF(Roster!C11="","",Roster!C11)</f>
        <v>M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8">
        <f t="shared" si="1"/>
        <v>0</v>
      </c>
      <c r="O12" s="18">
        <f t="shared" si="2"/>
        <v>0</v>
      </c>
      <c r="P12" s="18">
        <f t="shared" si="3"/>
        <v>0</v>
      </c>
      <c r="Q12" s="18" t="str">
        <f t="shared" si="4"/>
        <v/>
      </c>
      <c r="R12" s="17" t="s">
        <v>66</v>
      </c>
    </row>
    <row r="13">
      <c r="A13" s="11" t="str">
        <f>IF(Roster!A12="","",Roster!A12)</f>
        <v>Amelia Roddy</v>
      </c>
      <c r="B13" s="12">
        <f>IF(Roster!B12="","",Roster!B12)</f>
        <v>6</v>
      </c>
      <c r="C13" s="12" t="str">
        <f>IF(Roster!C12="","",Roster!C12)</f>
        <v>F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8">
        <f t="shared" si="1"/>
        <v>0</v>
      </c>
      <c r="O13" s="18">
        <f t="shared" si="2"/>
        <v>0</v>
      </c>
      <c r="P13" s="18">
        <f t="shared" si="3"/>
        <v>0</v>
      </c>
      <c r="Q13" s="18" t="str">
        <f t="shared" si="4"/>
        <v/>
      </c>
      <c r="R13" s="17" t="s">
        <v>67</v>
      </c>
    </row>
    <row r="14">
      <c r="A14" s="11" t="str">
        <f>IF(Roster!A13="","",Roster!A13)</f>
        <v>Liv Romsaas</v>
      </c>
      <c r="B14" s="12">
        <f>IF(Roster!B13="","",Roster!B13)</f>
        <v>5</v>
      </c>
      <c r="C14" s="12" t="str">
        <f>IF(Roster!C13="","",Roster!C13)</f>
        <v>F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8">
        <f t="shared" si="1"/>
        <v>0</v>
      </c>
      <c r="O14" s="18">
        <f t="shared" si="2"/>
        <v>0</v>
      </c>
      <c r="P14" s="18">
        <f t="shared" si="3"/>
        <v>0</v>
      </c>
      <c r="Q14" s="18" t="str">
        <f t="shared" si="4"/>
        <v/>
      </c>
      <c r="R14" s="17" t="s">
        <v>68</v>
      </c>
    </row>
    <row r="15">
      <c r="A15" s="11" t="str">
        <f>IF(Roster!A14="","",Roster!A14)</f>
        <v>Frank Ryan</v>
      </c>
      <c r="B15" s="12">
        <f>IF(Roster!B14="","",Roster!B14)</f>
        <v>5</v>
      </c>
      <c r="C15" s="12" t="str">
        <f>IF(Roster!C14="","",Roster!C14)</f>
        <v>M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8">
        <f t="shared" si="1"/>
        <v>0</v>
      </c>
      <c r="O15" s="18">
        <f t="shared" si="2"/>
        <v>0</v>
      </c>
      <c r="P15" s="18">
        <f t="shared" si="3"/>
        <v>0</v>
      </c>
      <c r="Q15" s="18" t="str">
        <f t="shared" si="4"/>
        <v/>
      </c>
      <c r="R15" s="17" t="s">
        <v>66</v>
      </c>
    </row>
    <row r="16">
      <c r="A16" s="11" t="str">
        <f>IF(Roster!A15="","",Roster!A15)</f>
        <v>Charlotte Saeger</v>
      </c>
      <c r="B16" s="12">
        <f>IF(Roster!B15="","",Roster!B15)</f>
        <v>5</v>
      </c>
      <c r="C16" s="12" t="str">
        <f>IF(Roster!C15="","",Roster!C15)</f>
        <v>F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8">
        <f t="shared" si="1"/>
        <v>0</v>
      </c>
      <c r="O16" s="18">
        <f t="shared" si="2"/>
        <v>0</v>
      </c>
      <c r="P16" s="18">
        <f t="shared" si="3"/>
        <v>0</v>
      </c>
      <c r="Q16" s="18" t="str">
        <f t="shared" si="4"/>
        <v/>
      </c>
      <c r="R16" s="17" t="s">
        <v>68</v>
      </c>
    </row>
    <row r="17">
      <c r="A17" s="11" t="str">
        <f>IF(Roster!A16="","",Roster!A16)</f>
        <v>Otto Terhark</v>
      </c>
      <c r="B17" s="12">
        <f>IF(Roster!B16="","",Roster!B16)</f>
        <v>5</v>
      </c>
      <c r="C17" s="12" t="str">
        <f>IF(Roster!C16="","",Roster!C16)</f>
        <v>M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8">
        <f t="shared" si="1"/>
        <v>0</v>
      </c>
      <c r="O17" s="18">
        <f t="shared" si="2"/>
        <v>0</v>
      </c>
      <c r="P17" s="18">
        <f t="shared" si="3"/>
        <v>0</v>
      </c>
      <c r="Q17" s="18" t="str">
        <f t="shared" si="4"/>
        <v/>
      </c>
      <c r="R17" s="17" t="s">
        <v>69</v>
      </c>
    </row>
    <row r="18">
      <c r="A18" s="11" t="str">
        <f>IF(Roster!A17="","",Roster!A17)</f>
        <v>Ethan Tschida</v>
      </c>
      <c r="B18" s="12">
        <f>IF(Roster!B17="","",Roster!B17)</f>
        <v>6</v>
      </c>
      <c r="C18" s="12" t="str">
        <f>IF(Roster!C17="","",Roster!C17)</f>
        <v>M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8">
        <f t="shared" si="1"/>
        <v>0</v>
      </c>
      <c r="O18" s="18">
        <f t="shared" si="2"/>
        <v>0</v>
      </c>
      <c r="P18" s="18">
        <f t="shared" si="3"/>
        <v>0</v>
      </c>
      <c r="Q18" s="18" t="str">
        <f t="shared" si="4"/>
        <v/>
      </c>
      <c r="R18" s="17" t="s">
        <v>58</v>
      </c>
    </row>
    <row r="19">
      <c r="A19" s="20" t="s">
        <v>70</v>
      </c>
      <c r="B19" s="12" t="str">
        <f>IF(Roster!B18="","",Roster!B18)</f>
        <v/>
      </c>
      <c r="C19" s="12" t="str">
        <f>IF(Roster!C18="","",Roster!C18)</f>
        <v/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8">
        <f t="shared" si="1"/>
        <v>0</v>
      </c>
      <c r="O19" s="18">
        <f t="shared" si="2"/>
        <v>0</v>
      </c>
      <c r="P19" s="18">
        <f t="shared" si="3"/>
        <v>0</v>
      </c>
      <c r="Q19" s="18" t="str">
        <f t="shared" si="4"/>
        <v/>
      </c>
      <c r="R19" s="17" t="s">
        <v>58</v>
      </c>
    </row>
    <row r="20">
      <c r="A20" s="20" t="s">
        <v>71</v>
      </c>
      <c r="B20" s="12" t="str">
        <f>IF(Roster!B19="","",Roster!B19)</f>
        <v/>
      </c>
      <c r="C20" s="12" t="str">
        <f>IF(Roster!C19="","",Roster!C19)</f>
        <v/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8">
        <f t="shared" si="1"/>
        <v>0</v>
      </c>
      <c r="O20" s="18">
        <f t="shared" si="2"/>
        <v>0</v>
      </c>
      <c r="P20" s="18">
        <f t="shared" si="3"/>
        <v>0</v>
      </c>
      <c r="Q20" s="18" t="str">
        <f t="shared" si="4"/>
        <v/>
      </c>
      <c r="R20" s="17" t="s">
        <v>72</v>
      </c>
    </row>
    <row r="21" ht="15.75" customHeight="1">
      <c r="A21" s="20" t="s">
        <v>73</v>
      </c>
      <c r="B21" s="12" t="str">
        <f>IF(Roster!B20="","",Roster!B20)</f>
        <v/>
      </c>
      <c r="C21" s="12" t="str">
        <f>IF(Roster!C20="","",Roster!C20)</f>
        <v/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8">
        <f t="shared" si="1"/>
        <v>0</v>
      </c>
      <c r="O21" s="18">
        <f t="shared" si="2"/>
        <v>0</v>
      </c>
      <c r="P21" s="18">
        <f t="shared" si="3"/>
        <v>0</v>
      </c>
      <c r="Q21" s="18" t="str">
        <f t="shared" si="4"/>
        <v/>
      </c>
      <c r="R21" s="17" t="s">
        <v>74</v>
      </c>
    </row>
    <row r="22" ht="15.75" customHeight="1">
      <c r="A22" s="20" t="s">
        <v>75</v>
      </c>
      <c r="B22" s="12" t="str">
        <f>IF(Roster!B21="","",Roster!B21)</f>
        <v/>
      </c>
      <c r="C22" s="12" t="str">
        <f>IF(Roster!C21="","",Roster!C21)</f>
        <v/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8">
        <f t="shared" si="1"/>
        <v>0</v>
      </c>
      <c r="O22" s="18">
        <f t="shared" si="2"/>
        <v>0</v>
      </c>
      <c r="P22" s="18">
        <f t="shared" si="3"/>
        <v>0</v>
      </c>
      <c r="Q22" s="18" t="str">
        <f t="shared" si="4"/>
        <v/>
      </c>
      <c r="R22" s="17" t="s">
        <v>76</v>
      </c>
    </row>
    <row r="23" ht="15.75" customHeight="1">
      <c r="A23" s="20" t="s">
        <v>77</v>
      </c>
      <c r="B23" s="12" t="str">
        <f>IF(Roster!B22="","",Roster!B22)</f>
        <v/>
      </c>
      <c r="C23" s="12" t="str">
        <f>IF(Roster!C22="","",Roster!C22)</f>
        <v/>
      </c>
      <c r="D23" s="19" t="s">
        <v>60</v>
      </c>
      <c r="E23" s="19"/>
      <c r="F23" s="19" t="s">
        <v>78</v>
      </c>
      <c r="G23" s="12"/>
      <c r="H23" s="12"/>
      <c r="I23" s="12"/>
      <c r="J23" s="19" t="s">
        <v>60</v>
      </c>
      <c r="K23" s="12"/>
      <c r="L23" s="12"/>
      <c r="M23" s="12"/>
      <c r="N23" s="18">
        <f t="shared" si="1"/>
        <v>3</v>
      </c>
      <c r="O23" s="18">
        <f t="shared" si="2"/>
        <v>0</v>
      </c>
      <c r="P23" s="18">
        <f t="shared" si="3"/>
        <v>3</v>
      </c>
      <c r="Q23" s="18" t="str">
        <f t="shared" si="4"/>
        <v>✓ OK</v>
      </c>
      <c r="R23" s="17" t="s">
        <v>79</v>
      </c>
    </row>
    <row r="24" ht="15.75" customHeight="1">
      <c r="A24" s="20" t="s">
        <v>33</v>
      </c>
      <c r="B24" s="12" t="str">
        <f>IF(Roster!B23="","",Roster!B23)</f>
        <v/>
      </c>
      <c r="C24" s="12" t="str">
        <f>IF(Roster!C23="","",Roster!C23)</f>
        <v/>
      </c>
      <c r="D24" s="19" t="s">
        <v>60</v>
      </c>
      <c r="E24" s="19" t="s">
        <v>80</v>
      </c>
      <c r="F24" s="12"/>
      <c r="G24" s="12"/>
      <c r="H24" s="12"/>
      <c r="I24" s="12"/>
      <c r="J24" s="19" t="s">
        <v>60</v>
      </c>
      <c r="K24" s="12"/>
      <c r="L24" s="12"/>
      <c r="M24" s="12"/>
      <c r="N24" s="18">
        <f t="shared" si="1"/>
        <v>3</v>
      </c>
      <c r="O24" s="18">
        <f t="shared" si="2"/>
        <v>0</v>
      </c>
      <c r="P24" s="18">
        <f t="shared" si="3"/>
        <v>3</v>
      </c>
      <c r="Q24" s="18" t="str">
        <f t="shared" si="4"/>
        <v>✓ OK</v>
      </c>
      <c r="R24" s="17" t="s">
        <v>81</v>
      </c>
    </row>
    <row r="25" ht="15.75" customHeight="1">
      <c r="A25" s="11"/>
      <c r="B25" s="12" t="str">
        <f>IF(Roster!B24="","",Roster!B24)</f>
        <v/>
      </c>
      <c r="C25" s="12" t="str">
        <f>IF(Roster!C24="","",Roster!C24)</f>
        <v/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8" t="str">
        <f t="shared" si="1"/>
        <v/>
      </c>
      <c r="O25" s="18" t="str">
        <f t="shared" si="2"/>
        <v/>
      </c>
      <c r="P25" s="18" t="str">
        <f t="shared" si="3"/>
        <v/>
      </c>
      <c r="Q25" s="18" t="str">
        <f t="shared" si="4"/>
        <v/>
      </c>
    </row>
    <row r="26" ht="15.75" customHeight="1">
      <c r="A26" s="20" t="s">
        <v>82</v>
      </c>
      <c r="B26" s="12" t="str">
        <f>IF(Roster!B25="","",Roster!B25)</f>
        <v/>
      </c>
      <c r="C26" s="12" t="str">
        <f>IF(Roster!C25="","",Roster!C25)</f>
        <v/>
      </c>
      <c r="D26" s="19" t="s">
        <v>83</v>
      </c>
      <c r="E26" s="12"/>
      <c r="F26" s="12"/>
      <c r="G26" s="12"/>
      <c r="H26" s="12"/>
      <c r="I26" s="12"/>
      <c r="J26" s="12"/>
      <c r="K26" s="12"/>
      <c r="L26" s="12"/>
      <c r="M26" s="12"/>
      <c r="N26" s="18">
        <f t="shared" si="1"/>
        <v>1</v>
      </c>
      <c r="O26" s="18">
        <f t="shared" si="2"/>
        <v>0</v>
      </c>
      <c r="P26" s="18">
        <f t="shared" si="3"/>
        <v>1</v>
      </c>
      <c r="Q26" s="18" t="str">
        <f t="shared" si="4"/>
        <v>✓ OK</v>
      </c>
      <c r="R26" s="17" t="s">
        <v>84</v>
      </c>
    </row>
    <row r="27" ht="15.75" customHeight="1">
      <c r="A27" s="20" t="s">
        <v>85</v>
      </c>
      <c r="B27" s="12" t="str">
        <f>IF(Roster!B26="","",Roster!B26)</f>
        <v/>
      </c>
      <c r="C27" s="12" t="str">
        <f>IF(Roster!C26="","",Roster!C26)</f>
        <v/>
      </c>
      <c r="D27" s="19" t="s">
        <v>83</v>
      </c>
      <c r="E27" s="12"/>
      <c r="F27" s="12"/>
      <c r="G27" s="12"/>
      <c r="H27" s="12"/>
      <c r="I27" s="12"/>
      <c r="J27" s="12"/>
      <c r="K27" s="12"/>
      <c r="L27" s="12"/>
      <c r="M27" s="12"/>
      <c r="N27" s="18">
        <f t="shared" si="1"/>
        <v>1</v>
      </c>
      <c r="O27" s="18">
        <f t="shared" si="2"/>
        <v>0</v>
      </c>
      <c r="P27" s="18">
        <f t="shared" si="3"/>
        <v>1</v>
      </c>
      <c r="Q27" s="18" t="str">
        <f t="shared" si="4"/>
        <v>✓ OK</v>
      </c>
      <c r="R27" s="17" t="s">
        <v>86</v>
      </c>
    </row>
    <row r="28" ht="15.75" customHeight="1">
      <c r="A28" s="20" t="s">
        <v>87</v>
      </c>
      <c r="B28" s="12" t="str">
        <f>IF(Roster!B27="","",Roster!B27)</f>
        <v/>
      </c>
      <c r="C28" s="12" t="str">
        <f>IF(Roster!C27="","",Roster!C27)</f>
        <v/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8">
        <f t="shared" si="1"/>
        <v>0</v>
      </c>
      <c r="O28" s="18">
        <f t="shared" si="2"/>
        <v>0</v>
      </c>
      <c r="P28" s="18">
        <f t="shared" si="3"/>
        <v>0</v>
      </c>
      <c r="Q28" s="18" t="str">
        <f t="shared" si="4"/>
        <v/>
      </c>
      <c r="R28" s="17" t="s">
        <v>88</v>
      </c>
    </row>
    <row r="29" ht="15.75" customHeight="1">
      <c r="A29" s="20" t="s">
        <v>89</v>
      </c>
      <c r="B29" s="12" t="str">
        <f>IF(Roster!B28="","",Roster!B28)</f>
        <v/>
      </c>
      <c r="C29" s="12" t="str">
        <f>IF(Roster!C28="","",Roster!C28)</f>
        <v/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8">
        <f t="shared" si="1"/>
        <v>0</v>
      </c>
      <c r="O29" s="18">
        <f t="shared" si="2"/>
        <v>0</v>
      </c>
      <c r="P29" s="18">
        <f t="shared" si="3"/>
        <v>0</v>
      </c>
      <c r="Q29" s="18" t="str">
        <f t="shared" si="4"/>
        <v/>
      </c>
      <c r="R29" s="17" t="s">
        <v>90</v>
      </c>
    </row>
    <row r="30" ht="15.75" customHeight="1">
      <c r="A30" s="11" t="str">
        <f>IF(Roster!A29="","",Roster!A29)</f>
        <v/>
      </c>
      <c r="B30" s="12" t="str">
        <f>IF(Roster!B29="","",Roster!B29)</f>
        <v/>
      </c>
      <c r="C30" s="12" t="str">
        <f>IF(Roster!C29="","",Roster!C29)</f>
        <v/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8" t="str">
        <f t="shared" si="1"/>
        <v/>
      </c>
      <c r="O30" s="18" t="str">
        <f t="shared" si="2"/>
        <v/>
      </c>
      <c r="P30" s="18" t="str">
        <f t="shared" si="3"/>
        <v/>
      </c>
      <c r="Q30" s="18" t="str">
        <f t="shared" si="4"/>
        <v/>
      </c>
    </row>
    <row r="31" ht="15.75" customHeight="1">
      <c r="A31" s="11" t="str">
        <f>IF(Roster!A30="","",Roster!A30)</f>
        <v/>
      </c>
      <c r="B31" s="12" t="str">
        <f>IF(Roster!B30="","",Roster!B30)</f>
        <v/>
      </c>
      <c r="C31" s="12" t="str">
        <f>IF(Roster!C30="","",Roster!C30)</f>
        <v/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8" t="str">
        <f t="shared" si="1"/>
        <v/>
      </c>
      <c r="O31" s="18" t="str">
        <f t="shared" si="2"/>
        <v/>
      </c>
      <c r="P31" s="18" t="str">
        <f t="shared" si="3"/>
        <v/>
      </c>
      <c r="Q31" s="18" t="str">
        <f t="shared" si="4"/>
        <v/>
      </c>
    </row>
    <row r="32" ht="15.75" customHeight="1">
      <c r="A32" s="11" t="str">
        <f>IF(Roster!A31="","",Roster!A31)</f>
        <v/>
      </c>
      <c r="B32" s="12" t="str">
        <f>IF(Roster!B31="","",Roster!B31)</f>
        <v/>
      </c>
      <c r="C32" s="12" t="str">
        <f>IF(Roster!C31="","",Roster!C31)</f>
        <v/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8" t="str">
        <f t="shared" si="1"/>
        <v/>
      </c>
      <c r="O32" s="18" t="str">
        <f t="shared" si="2"/>
        <v/>
      </c>
      <c r="P32" s="18" t="str">
        <f t="shared" si="3"/>
        <v/>
      </c>
      <c r="Q32" s="18" t="str">
        <f t="shared" si="4"/>
        <v/>
      </c>
    </row>
    <row r="33" ht="15.75" customHeight="1">
      <c r="A33" s="11" t="str">
        <f>IF(Roster!A32="","",Roster!A32)</f>
        <v/>
      </c>
      <c r="B33" s="12" t="str">
        <f>IF(Roster!B32="","",Roster!B32)</f>
        <v/>
      </c>
      <c r="C33" s="12" t="str">
        <f>IF(Roster!C32="","",Roster!C32)</f>
        <v/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8" t="str">
        <f t="shared" si="1"/>
        <v/>
      </c>
      <c r="O33" s="18" t="str">
        <f t="shared" si="2"/>
        <v/>
      </c>
      <c r="P33" s="18" t="str">
        <f t="shared" si="3"/>
        <v/>
      </c>
      <c r="Q33" s="18" t="str">
        <f t="shared" si="4"/>
        <v/>
      </c>
    </row>
    <row r="34" ht="15.75" customHeight="1">
      <c r="A34" s="11" t="str">
        <f>IF(Roster!A33="","",Roster!A33)</f>
        <v/>
      </c>
      <c r="B34" s="12" t="str">
        <f>IF(Roster!B33="","",Roster!B33)</f>
        <v/>
      </c>
      <c r="C34" s="12" t="str">
        <f>IF(Roster!C33="","",Roster!C33)</f>
        <v/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8" t="str">
        <f t="shared" si="1"/>
        <v/>
      </c>
      <c r="O34" s="18" t="str">
        <f t="shared" si="2"/>
        <v/>
      </c>
      <c r="P34" s="18" t="str">
        <f t="shared" si="3"/>
        <v/>
      </c>
      <c r="Q34" s="18" t="str">
        <f t="shared" si="4"/>
        <v/>
      </c>
    </row>
    <row r="35" ht="15.75" customHeight="1">
      <c r="A35" s="11" t="str">
        <f>IF(Roster!A34="","",Roster!A34)</f>
        <v/>
      </c>
      <c r="B35" s="12" t="str">
        <f>IF(Roster!B34="","",Roster!B34)</f>
        <v/>
      </c>
      <c r="C35" s="12" t="str">
        <f>IF(Roster!C34="","",Roster!C34)</f>
        <v/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8" t="str">
        <f t="shared" si="1"/>
        <v/>
      </c>
      <c r="O35" s="18" t="str">
        <f t="shared" si="2"/>
        <v/>
      </c>
      <c r="P35" s="18" t="str">
        <f t="shared" si="3"/>
        <v/>
      </c>
      <c r="Q35" s="18" t="str">
        <f t="shared" si="4"/>
        <v/>
      </c>
    </row>
    <row r="36" ht="15.75" customHeight="1">
      <c r="A36" s="11" t="str">
        <f>IF(Roster!A35="","",Roster!A35)</f>
        <v/>
      </c>
      <c r="B36" s="12" t="str">
        <f>IF(Roster!B35="","",Roster!B35)</f>
        <v/>
      </c>
      <c r="C36" s="12" t="str">
        <f>IF(Roster!C35="","",Roster!C35)</f>
        <v/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8" t="str">
        <f t="shared" si="1"/>
        <v/>
      </c>
      <c r="O36" s="18" t="str">
        <f t="shared" si="2"/>
        <v/>
      </c>
      <c r="P36" s="18" t="str">
        <f t="shared" si="3"/>
        <v/>
      </c>
      <c r="Q36" s="18" t="str">
        <f t="shared" si="4"/>
        <v/>
      </c>
    </row>
    <row r="37" ht="15.75" customHeight="1">
      <c r="A37" s="11" t="str">
        <f>IF(Roster!A36="","",Roster!A36)</f>
        <v/>
      </c>
      <c r="B37" s="12" t="str">
        <f>IF(Roster!B36="","",Roster!B36)</f>
        <v/>
      </c>
      <c r="C37" s="12" t="str">
        <f>IF(Roster!C36="","",Roster!C36)</f>
        <v/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8" t="str">
        <f t="shared" si="1"/>
        <v/>
      </c>
      <c r="O37" s="18" t="str">
        <f t="shared" si="2"/>
        <v/>
      </c>
      <c r="P37" s="18" t="str">
        <f t="shared" si="3"/>
        <v/>
      </c>
      <c r="Q37" s="18" t="str">
        <f t="shared" si="4"/>
        <v/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Q1"/>
    <mergeCell ref="D2:J2"/>
    <mergeCell ref="K2:M2"/>
    <mergeCell ref="N2:Q2"/>
  </mergeCells>
  <conditionalFormatting sqref="P4:P37">
    <cfRule type="cellIs" dxfId="0" priority="1" operator="greaterThan">
      <formula>4</formula>
    </cfRule>
  </conditionalFormatting>
  <conditionalFormatting sqref="Q4:Q37">
    <cfRule type="expression" dxfId="0" priority="2">
      <formula>ISNUMBER(SEARCH("❌",Q4))</formula>
    </cfRule>
  </conditionalFormatting>
  <conditionalFormatting sqref="Q4:Q37">
    <cfRule type="expression" dxfId="1" priority="3">
      <formula>ISNUMBER(SEARCH("⚠",Q4))</formula>
    </cfRule>
  </conditionalFormatting>
  <conditionalFormatting sqref="Q4:Q37">
    <cfRule type="expression" dxfId="2" priority="4">
      <formula>ISNUMBER(SEARCH("OK",Q4))</formula>
    </cfRule>
  </conditionalFormatting>
  <dataValidations>
    <dataValidation type="list" allowBlank="1" sqref="I4:I37">
      <formula1>"X"</formula1>
    </dataValidation>
    <dataValidation type="list" allowBlank="1" sqref="D4:H37 J4:M37">
      <formula1>"X,A,B,C,D"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21.75" customHeight="1">
      <c r="A1" s="7" t="s">
        <v>91</v>
      </c>
      <c r="B1" s="9"/>
    </row>
    <row r="3">
      <c r="A3" s="21" t="s">
        <v>92</v>
      </c>
      <c r="B3" s="9"/>
    </row>
    <row r="4">
      <c r="A4" s="22" t="s">
        <v>93</v>
      </c>
      <c r="B4" s="9"/>
    </row>
    <row r="5">
      <c r="A5" s="23" t="s">
        <v>94</v>
      </c>
      <c r="B5" s="24" t="str">
        <f>IFERROR(__xludf.DUMMYFUNCTION("IFERROR(TEXTJOIN("", "",TRUE,FILTER(Signup!$A$4:$A$21,Signup!$D$4:$D$21=""A"")),"""")"),"Elyse Folbrecht")</f>
        <v>Elyse Folbrecht</v>
      </c>
    </row>
    <row r="6">
      <c r="A6" s="23" t="s">
        <v>95</v>
      </c>
      <c r="B6" s="24" t="str">
        <f>IFERROR(__xludf.DUMMYFUNCTION("IFERROR(TEXTJOIN("", "",TRUE,FILTER(Signup!$A$4:$A$21,Signup!$D$4:$D$21=""B"")),"""")"),"")</f>
        <v/>
      </c>
    </row>
    <row r="7">
      <c r="A7" s="23" t="s">
        <v>96</v>
      </c>
      <c r="B7" s="24" t="str">
        <f>IFERROR(__xludf.DUMMYFUNCTION("IFERROR(TEXTJOIN("", "",TRUE,FILTER(Signup!$A$4:$A$21,Signup!$D$4:$D$21=""C"")),"""")"),"")</f>
        <v/>
      </c>
    </row>
    <row r="8">
      <c r="A8" s="23" t="s">
        <v>97</v>
      </c>
      <c r="B8" s="24" t="str">
        <f>IFERROR(__xludf.DUMMYFUNCTION("IFERROR(TEXTJOIN("", "",TRUE,FILTER(Signup!$A$4:$A$21,Signup!$D$4:$D$21=""D"")),"""")"),"")</f>
        <v/>
      </c>
    </row>
    <row r="10">
      <c r="A10" s="22" t="s">
        <v>98</v>
      </c>
      <c r="B10" s="9"/>
    </row>
    <row r="11">
      <c r="A11" s="23" t="s">
        <v>94</v>
      </c>
      <c r="B11" s="24" t="str">
        <f>IFERROR(__xludf.DUMMYFUNCTION("IFERROR(TEXTJOIN("", "",TRUE,FILTER(Signup!$A$4:$A$21,Signup!$E$4:$E$21=""A"")),"""")"),"")</f>
        <v/>
      </c>
    </row>
    <row r="12">
      <c r="A12" s="23" t="s">
        <v>95</v>
      </c>
      <c r="B12" s="24" t="str">
        <f>IFERROR(__xludf.DUMMYFUNCTION("IFERROR(TEXTJOIN("", "",TRUE,FILTER(Signup!$A$4:$A$21,Signup!$E$4:$E$21=""B"")),"""")"),"")</f>
        <v/>
      </c>
    </row>
    <row r="13">
      <c r="A13" s="23" t="s">
        <v>96</v>
      </c>
      <c r="B13" s="24" t="str">
        <f>IFERROR(__xludf.DUMMYFUNCTION("IFERROR(TEXTJOIN("", "",TRUE,FILTER(Signup!$A$4:$A$21,Signup!$E$4:$E$21=""C"")),"""")"),"")</f>
        <v/>
      </c>
    </row>
    <row r="14">
      <c r="A14" s="23" t="s">
        <v>97</v>
      </c>
      <c r="B14" s="24" t="str">
        <f>IFERROR(__xludf.DUMMYFUNCTION("IFERROR(TEXTJOIN("", "",TRUE,FILTER(Signup!$A$4:$A$21,Signup!$E$4:$E$21=""D"")),"""")"),"")</f>
        <v/>
      </c>
    </row>
    <row r="16">
      <c r="A16" s="22" t="s">
        <v>99</v>
      </c>
      <c r="B16" s="9"/>
    </row>
    <row r="17">
      <c r="A17" s="23" t="s">
        <v>94</v>
      </c>
      <c r="B17" s="24" t="str">
        <f>IFERROR(__xludf.DUMMYFUNCTION("IFERROR(TEXTJOIN("", "",TRUE,FILTER(Signup!$A$4:$A$21,Signup!$F$4:$F$21=""A"")),"""")"),"")</f>
        <v/>
      </c>
    </row>
    <row r="18">
      <c r="A18" s="23" t="s">
        <v>95</v>
      </c>
      <c r="B18" s="24" t="str">
        <f>IFERROR(__xludf.DUMMYFUNCTION("IFERROR(TEXTJOIN("", "",TRUE,FILTER(Signup!$A$4:$A$21,Signup!$F$4:$F$21=""B"")),"""")"),"")</f>
        <v/>
      </c>
    </row>
    <row r="19">
      <c r="A19" s="23" t="s">
        <v>96</v>
      </c>
      <c r="B19" s="24" t="str">
        <f>IFERROR(__xludf.DUMMYFUNCTION("IFERROR(TEXTJOIN("", "",TRUE,FILTER(Signup!$A$4:$A$21,Signup!$F$4:$F$21=""C"")),"""")"),"")</f>
        <v/>
      </c>
    </row>
    <row r="20">
      <c r="A20" s="23" t="s">
        <v>97</v>
      </c>
      <c r="B20" s="24" t="str">
        <f>IFERROR(__xludf.DUMMYFUNCTION("IFERROR(TEXTJOIN("", "",TRUE,FILTER(Signup!$A$4:$A$21,Signup!$F$4:$F$21=""D"")),"""")"),"")</f>
        <v/>
      </c>
    </row>
    <row r="21" ht="15.75" customHeight="1"/>
    <row r="22" ht="15.75" customHeight="1">
      <c r="A22" s="22" t="s">
        <v>100</v>
      </c>
      <c r="B22" s="9"/>
    </row>
    <row r="23" ht="15.75" customHeight="1">
      <c r="A23" s="23" t="s">
        <v>94</v>
      </c>
      <c r="B23" s="24" t="str">
        <f>IFERROR(__xludf.DUMMYFUNCTION("IFERROR(TEXTJOIN("", "",TRUE,FILTER(Signup!$A$4:$A$21,Signup!$G$4:$G$21=""A"")),"""")"),"")</f>
        <v/>
      </c>
    </row>
    <row r="24" ht="15.75" customHeight="1">
      <c r="A24" s="23" t="s">
        <v>95</v>
      </c>
      <c r="B24" s="24" t="str">
        <f>IFERROR(__xludf.DUMMYFUNCTION("IFERROR(TEXTJOIN("", "",TRUE,FILTER(Signup!$A$4:$A$21,Signup!$G$4:$G$21=""B"")),"""")"),"")</f>
        <v/>
      </c>
    </row>
    <row r="25" ht="15.75" customHeight="1">
      <c r="A25" s="23" t="s">
        <v>96</v>
      </c>
      <c r="B25" s="24" t="str">
        <f>IFERROR(__xludf.DUMMYFUNCTION("IFERROR(TEXTJOIN("", "",TRUE,FILTER(Signup!$A$4:$A$21,Signup!$G$4:$G$21=""C"")),"""")"),"")</f>
        <v/>
      </c>
    </row>
    <row r="26" ht="15.75" customHeight="1">
      <c r="A26" s="23" t="s">
        <v>97</v>
      </c>
      <c r="B26" s="24" t="str">
        <f>IFERROR(__xludf.DUMMYFUNCTION("IFERROR(TEXTJOIN("", "",TRUE,FILTER(Signup!$A$4:$A$21,Signup!$G$4:$G$21=""D"")),"""")"),"")</f>
        <v/>
      </c>
    </row>
    <row r="27" ht="15.75" customHeight="1"/>
    <row r="28" ht="15.75" customHeight="1">
      <c r="A28" s="22" t="s">
        <v>101</v>
      </c>
      <c r="B28" s="9"/>
    </row>
    <row r="29" ht="15.75" customHeight="1">
      <c r="A29" s="23" t="s">
        <v>94</v>
      </c>
      <c r="B29" s="24" t="str">
        <f>IFERROR(__xludf.DUMMYFUNCTION("IFERROR(TEXTJOIN("", "",TRUE,FILTER(Signup!$A$4:$A$21,Signup!$H$4:$H$21=""A"")),"""")"),"")</f>
        <v/>
      </c>
    </row>
    <row r="30" ht="15.75" customHeight="1">
      <c r="A30" s="23" t="s">
        <v>95</v>
      </c>
      <c r="B30" s="24" t="str">
        <f>IFERROR(__xludf.DUMMYFUNCTION("IFERROR(TEXTJOIN("", "",TRUE,FILTER(Signup!$A$4:$A$21,Signup!$H$4:$H$21=""B"")),"""")"),"")</f>
        <v/>
      </c>
    </row>
    <row r="31" ht="15.75" customHeight="1">
      <c r="A31" s="23" t="s">
        <v>96</v>
      </c>
      <c r="B31" s="24" t="str">
        <f>IFERROR(__xludf.DUMMYFUNCTION("IFERROR(TEXTJOIN("", "",TRUE,FILTER(Signup!$A$4:$A$21,Signup!$H$4:$H$21=""C"")),"""")"),"")</f>
        <v/>
      </c>
    </row>
    <row r="32" ht="15.75" customHeight="1">
      <c r="A32" s="23" t="s">
        <v>97</v>
      </c>
      <c r="B32" s="24" t="str">
        <f>IFERROR(__xludf.DUMMYFUNCTION("IFERROR(TEXTJOIN("", "",TRUE,FILTER(Signup!$A$4:$A$21,Signup!$H$4:$H$21=""D"")),"""")"),"")</f>
        <v/>
      </c>
    </row>
    <row r="33" ht="15.75" customHeight="1"/>
    <row r="34" ht="15.75" customHeight="1">
      <c r="A34" s="22" t="s">
        <v>102</v>
      </c>
      <c r="B34" s="9"/>
    </row>
    <row r="35" ht="15.75" customHeight="1">
      <c r="A35" s="23" t="s">
        <v>103</v>
      </c>
      <c r="B35" s="24" t="str">
        <f>IFERROR(__xludf.DUMMYFUNCTION("IFERROR(TEXTJOIN("", "",TRUE,FILTER(Signup!$A$4:$A$21,(Signup!$I$4:$I$21=""X"")*(((Signup!$B$4:$B$21=6)+(Signup!$B$4:$B$21=7))&gt;0)*(Signup!$C$4:$C$21=""F""))),"""")"),"")</f>
        <v/>
      </c>
    </row>
    <row r="36" ht="15.75" customHeight="1">
      <c r="A36" s="23" t="s">
        <v>104</v>
      </c>
      <c r="B36" s="24" t="str">
        <f>IFERROR(__xludf.DUMMYFUNCTION("IFERROR(TEXTJOIN("", "",TRUE,FILTER(Signup!$A$4:$A$21,(Signup!$I$4:$I$21=""X"")*(Signup!$B$4:$B$21=8)*(Signup!$C$4:$C$21=""F""))),"""")"),"")</f>
        <v/>
      </c>
    </row>
    <row r="37" ht="15.75" customHeight="1">
      <c r="A37" s="23" t="s">
        <v>105</v>
      </c>
      <c r="B37" s="24" t="str">
        <f>IFERROR(__xludf.DUMMYFUNCTION("IFERROR(TEXTJOIN("", "",TRUE,FILTER(Signup!$A$4:$A$21,(Signup!$I$4:$I$21=""X"")*(((Signup!$B$4:$B$21=6)+(Signup!$B$4:$B$21=7))&gt;0)*(Signup!$C$4:$C$21=""M""))),"""")"),"")</f>
        <v/>
      </c>
    </row>
    <row r="38" ht="15.75" customHeight="1">
      <c r="A38" s="23" t="s">
        <v>106</v>
      </c>
      <c r="B38" s="24" t="str">
        <f>IFERROR(__xludf.DUMMYFUNCTION("IFERROR(TEXTJOIN("", "",TRUE,FILTER(Signup!$A$4:$A$21,(Signup!$I$4:$I$21=""X"")*(Signup!$B$4:$B$21=8)*(Signup!$C$4:$C$21=""M""))),"""")"),"")</f>
        <v/>
      </c>
    </row>
    <row r="39" ht="15.75" customHeight="1">
      <c r="A39" s="23" t="s">
        <v>107</v>
      </c>
      <c r="B39" s="24" t="str">
        <f>IFERROR(__xludf.DUMMYFUNCTION("IFERROR(TEXTJOIN("", "",TRUE,FILTER(Signup!$A$4:$A$21,(Signup!$I$4:$I$21=""X"")*(Signup!$B$4:$B$21=5)*(Signup!$C$4:$C$21=""F""))),"""")"),"")</f>
        <v/>
      </c>
    </row>
    <row r="40" ht="15.75" customHeight="1">
      <c r="A40" s="23" t="s">
        <v>108</v>
      </c>
      <c r="B40" s="24" t="str">
        <f>IFERROR(__xludf.DUMMYFUNCTION("IFERROR(TEXTJOIN("", "",TRUE,FILTER(Signup!$A$4:$A$21,(Signup!$I$4:$I$21=""X"")*(Signup!$B$4:$B$21=5)*(Signup!$C$4:$C$21=""M""))),"""")"),"")</f>
        <v/>
      </c>
    </row>
    <row r="41" ht="15.75" customHeight="1"/>
    <row r="42" ht="15.75" customHeight="1">
      <c r="A42" s="22" t="s">
        <v>109</v>
      </c>
      <c r="B42" s="9"/>
    </row>
    <row r="43" ht="15.75" customHeight="1">
      <c r="A43" s="23" t="s">
        <v>94</v>
      </c>
      <c r="B43" s="24" t="str">
        <f>IFERROR(__xludf.DUMMYFUNCTION("IFERROR(TEXTJOIN("", "",TRUE,FILTER(Signup!$A$4:$A$21,Signup!$J$4:$J$21=""A"")),"""")"),"Elyse Folbrecht")</f>
        <v>Elyse Folbrecht</v>
      </c>
    </row>
    <row r="44" ht="15.75" customHeight="1">
      <c r="A44" s="23" t="s">
        <v>95</v>
      </c>
      <c r="B44" s="24" t="str">
        <f>IFERROR(__xludf.DUMMYFUNCTION("IFERROR(TEXTJOIN("", "",TRUE,FILTER(Signup!$A$4:$A$21,Signup!$J$4:$J$21=""B"")),"""")"),"")</f>
        <v/>
      </c>
    </row>
    <row r="45" ht="15.75" customHeight="1">
      <c r="A45" s="23" t="s">
        <v>96</v>
      </c>
      <c r="B45" s="24" t="str">
        <f>IFERROR(__xludf.DUMMYFUNCTION("IFERROR(TEXTJOIN("", "",TRUE,FILTER(Signup!$A$4:$A$21,Signup!$J$4:$J$21=""C"")),"""")"),"")</f>
        <v/>
      </c>
    </row>
    <row r="46" ht="15.75" customHeight="1">
      <c r="A46" s="23" t="s">
        <v>97</v>
      </c>
      <c r="B46" s="24" t="str">
        <f>IFERROR(__xludf.DUMMYFUNCTION("IFERROR(TEXTJOIN("", "",TRUE,FILTER(Signup!$A$4:$A$21,Signup!$J$4:$J$21=""D"")),"""")"),"")</f>
        <v/>
      </c>
    </row>
    <row r="47" ht="15.75" customHeight="1"/>
    <row r="48" ht="15.75" customHeight="1">
      <c r="A48" s="21" t="s">
        <v>110</v>
      </c>
      <c r="B48" s="9"/>
    </row>
    <row r="49" ht="15.75" customHeight="1">
      <c r="A49" s="25" t="s">
        <v>111</v>
      </c>
      <c r="B49" s="9"/>
    </row>
    <row r="50" ht="15.75" customHeight="1">
      <c r="A50" s="23" t="s">
        <v>94</v>
      </c>
      <c r="B50" s="24" t="str">
        <f>IFERROR(__xludf.DUMMYFUNCTION("IFERROR(TEXTJOIN("", "",TRUE,FILTER(Signup!$A$4:$A$21,Signup!$K$4:$K$21=""A"")),"""")"),"")</f>
        <v/>
      </c>
    </row>
    <row r="51" ht="15.75" customHeight="1">
      <c r="A51" s="23" t="s">
        <v>95</v>
      </c>
      <c r="B51" s="24" t="str">
        <f>IFERROR(__xludf.DUMMYFUNCTION("IFERROR(TEXTJOIN("", "",TRUE,FILTER(Signup!$A$4:$A$21,Signup!$K$4:$K$21=""B"")),"""")"),"")</f>
        <v/>
      </c>
    </row>
    <row r="52" ht="15.75" customHeight="1">
      <c r="A52" s="23" t="s">
        <v>96</v>
      </c>
      <c r="B52" s="24" t="str">
        <f>IFERROR(__xludf.DUMMYFUNCTION("IFERROR(TEXTJOIN("", "",TRUE,FILTER(Signup!$A$4:$A$21,Signup!$K$4:$K$21=""C"")),"""")"),"")</f>
        <v/>
      </c>
    </row>
    <row r="53" ht="15.75" customHeight="1">
      <c r="A53" s="23" t="s">
        <v>97</v>
      </c>
      <c r="B53" s="24" t="str">
        <f>IFERROR(__xludf.DUMMYFUNCTION("IFERROR(TEXTJOIN("", "",TRUE,FILTER(Signup!$A$4:$A$21,Signup!$K$4:$K$21=""D"")),"""")"),"")</f>
        <v/>
      </c>
    </row>
    <row r="54" ht="15.75" customHeight="1"/>
    <row r="55" ht="15.75" customHeight="1">
      <c r="A55" s="25" t="s">
        <v>112</v>
      </c>
      <c r="B55" s="9"/>
    </row>
    <row r="56" ht="15.75" customHeight="1">
      <c r="A56" s="23" t="s">
        <v>94</v>
      </c>
      <c r="B56" s="24" t="str">
        <f>IFERROR(__xludf.DUMMYFUNCTION("IFERROR(TEXTJOIN("", "",TRUE,FILTER(Signup!$A$4:$A$21,Signup!$L$4:$L$21=""A"")),"""")"),"")</f>
        <v/>
      </c>
    </row>
    <row r="57" ht="15.75" customHeight="1">
      <c r="A57" s="23" t="s">
        <v>95</v>
      </c>
      <c r="B57" s="24" t="str">
        <f>IFERROR(__xludf.DUMMYFUNCTION("IFERROR(TEXTJOIN("", "",TRUE,FILTER(Signup!$A$4:$A$21,Signup!$L$4:$L$21=""B"")),"""")"),"")</f>
        <v/>
      </c>
    </row>
    <row r="58" ht="15.75" customHeight="1">
      <c r="A58" s="23" t="s">
        <v>96</v>
      </c>
      <c r="B58" s="24" t="str">
        <f>IFERROR(__xludf.DUMMYFUNCTION("IFERROR(TEXTJOIN("", "",TRUE,FILTER(Signup!$A$4:$A$21,Signup!$L$4:$L$21=""C"")),"""")"),"")</f>
        <v/>
      </c>
    </row>
    <row r="59" ht="15.75" customHeight="1">
      <c r="A59" s="23" t="s">
        <v>97</v>
      </c>
      <c r="B59" s="24" t="str">
        <f>IFERROR(__xludf.DUMMYFUNCTION("IFERROR(TEXTJOIN("", "",TRUE,FILTER(Signup!$A$4:$A$21,Signup!$L$4:$L$21=""D"")),"""")"),"")</f>
        <v/>
      </c>
    </row>
    <row r="60" ht="15.75" customHeight="1"/>
    <row r="61" ht="15.75" customHeight="1">
      <c r="A61" s="25" t="s">
        <v>113</v>
      </c>
      <c r="B61" s="9"/>
    </row>
    <row r="62" ht="15.75" customHeight="1">
      <c r="A62" s="23" t="s">
        <v>94</v>
      </c>
      <c r="B62" s="24" t="str">
        <f>IFERROR(__xludf.DUMMYFUNCTION("IFERROR(TEXTJOIN("", "",TRUE,FILTER(Signup!$A$4:$A$21,Signup!$M$4:$M$21=""A"")),"""")"),"")</f>
        <v/>
      </c>
    </row>
    <row r="63" ht="15.75" customHeight="1">
      <c r="A63" s="23" t="s">
        <v>95</v>
      </c>
      <c r="B63" s="24" t="str">
        <f>IFERROR(__xludf.DUMMYFUNCTION("IFERROR(TEXTJOIN("", "",TRUE,FILTER(Signup!$A$4:$A$21,Signup!$M$4:$M$21=""B"")),"""")"),"")</f>
        <v/>
      </c>
    </row>
    <row r="64" ht="15.75" customHeight="1">
      <c r="A64" s="23" t="s">
        <v>96</v>
      </c>
      <c r="B64" s="24" t="str">
        <f>IFERROR(__xludf.DUMMYFUNCTION("IFERROR(TEXTJOIN("", "",TRUE,FILTER(Signup!$A$4:$A$21,Signup!$M$4:$M$21=""C"")),"""")"),"")</f>
        <v/>
      </c>
    </row>
    <row r="65" ht="15.75" customHeight="1">
      <c r="A65" s="23" t="s">
        <v>97</v>
      </c>
      <c r="B65" s="24" t="str">
        <f>IFERROR(__xludf.DUMMYFUNCTION("IFERROR(TEXTJOIN("", "",TRUE,FILTER(Signup!$A$4:$A$21,Signup!$M$4:$M$21=""D"")),"""")"),"")</f>
        <v/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4:B34"/>
    <mergeCell ref="A42:B42"/>
    <mergeCell ref="A48:B48"/>
    <mergeCell ref="A49:B49"/>
    <mergeCell ref="A55:B55"/>
    <mergeCell ref="A61:B61"/>
    <mergeCell ref="A1:B1"/>
    <mergeCell ref="A3:B3"/>
    <mergeCell ref="A4:B4"/>
    <mergeCell ref="A10:B10"/>
    <mergeCell ref="A16:B16"/>
    <mergeCell ref="A22:B22"/>
    <mergeCell ref="A28:B2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2026-05-12T13:32:22Z</dcterms:created>
  <dc:creator>openpyxl</dc:creator>
</cp:coreProperties>
</file>