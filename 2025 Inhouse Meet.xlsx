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ams" sheetId="1" r:id="rId5"/>
    <sheet state="visible" name="Totals" sheetId="2" r:id="rId6"/>
    <sheet state="visible" name="Scoring - Running Events" sheetId="3" r:id="rId7"/>
    <sheet state="visible" name="Scoring - Relays" sheetId="4" r:id="rId8"/>
    <sheet state="visible" name="Scoring - Field Events" sheetId="5" r:id="rId9"/>
  </sheets>
  <definedNames>
    <definedName hidden="1" localSheetId="3" name="_xlnm._FilterDatabase">'Scoring - Relays'!$A$2:$E$12</definedName>
  </definedNames>
  <calcPr/>
</workbook>
</file>

<file path=xl/sharedStrings.xml><?xml version="1.0" encoding="utf-8"?>
<sst xmlns="http://schemas.openxmlformats.org/spreadsheetml/2006/main" count="609" uniqueCount="194">
  <si>
    <t>Team Name</t>
  </si>
  <si>
    <t>Total</t>
  </si>
  <si>
    <t>Score Running</t>
  </si>
  <si>
    <t>Score Relays</t>
  </si>
  <si>
    <t>Score Field Events</t>
  </si>
  <si>
    <t>Athlete Name</t>
  </si>
  <si>
    <t>Orange Team</t>
  </si>
  <si>
    <t>Thea</t>
  </si>
  <si>
    <t>Evelyn</t>
  </si>
  <si>
    <t>Cosette</t>
  </si>
  <si>
    <t>Addis</t>
  </si>
  <si>
    <t>Ben</t>
  </si>
  <si>
    <t>Saoirse</t>
  </si>
  <si>
    <t>Ava M.</t>
  </si>
  <si>
    <t>Duyen</t>
  </si>
  <si>
    <t>Nick*</t>
  </si>
  <si>
    <t>Julia*</t>
  </si>
  <si>
    <t>Abby</t>
  </si>
  <si>
    <t>Alex</t>
  </si>
  <si>
    <t>Green Team</t>
  </si>
  <si>
    <t>Keva</t>
  </si>
  <si>
    <t>Harry</t>
  </si>
  <si>
    <t>Cora E.</t>
  </si>
  <si>
    <t>Sage</t>
  </si>
  <si>
    <t>Grant</t>
  </si>
  <si>
    <t>Cora C.</t>
  </si>
  <si>
    <t>Greyson</t>
  </si>
  <si>
    <t>Sylvia</t>
  </si>
  <si>
    <t>Michael</t>
  </si>
  <si>
    <t>Ayvalyn*</t>
  </si>
  <si>
    <t>Eva O.*</t>
  </si>
  <si>
    <t>Naomi (not competing)</t>
  </si>
  <si>
    <t>Yellow Team</t>
  </si>
  <si>
    <t>Vienna</t>
  </si>
  <si>
    <t>Ari</t>
  </si>
  <si>
    <t>Mattais</t>
  </si>
  <si>
    <t>Cailee</t>
  </si>
  <si>
    <t>Salahdin</t>
  </si>
  <si>
    <t>Arthur</t>
  </si>
  <si>
    <t>Andrew</t>
  </si>
  <si>
    <t>Anika</t>
  </si>
  <si>
    <t>Christoper</t>
  </si>
  <si>
    <t>Xavier*</t>
  </si>
  <si>
    <t>Salome*</t>
  </si>
  <si>
    <t>Blue Team</t>
  </si>
  <si>
    <t>Freyja</t>
  </si>
  <si>
    <t>Silas</t>
  </si>
  <si>
    <t>Leo</t>
  </si>
  <si>
    <t>Avery</t>
  </si>
  <si>
    <t>Isabel</t>
  </si>
  <si>
    <t>Ada</t>
  </si>
  <si>
    <t>Santiago</t>
  </si>
  <si>
    <t>Sawyer</t>
  </si>
  <si>
    <t>Albin</t>
  </si>
  <si>
    <t>Mitch*</t>
  </si>
  <si>
    <t>Brianna</t>
  </si>
  <si>
    <t>*Captains</t>
  </si>
  <si>
    <t>Team Number</t>
  </si>
  <si>
    <t>Team1</t>
  </si>
  <si>
    <t>Team2</t>
  </si>
  <si>
    <t>Team3</t>
  </si>
  <si>
    <t>Team4</t>
  </si>
  <si>
    <t xml:space="preserve">Events: </t>
  </si>
  <si>
    <t>Name</t>
  </si>
  <si>
    <t>Team</t>
  </si>
  <si>
    <t>Grade</t>
  </si>
  <si>
    <t>Robert</t>
  </si>
  <si>
    <t>Imagine Pope Kiwis III</t>
  </si>
  <si>
    <t>Red Dead Cheetahs</t>
  </si>
  <si>
    <t>Jurassic Chickens</t>
  </si>
  <si>
    <t>Shot</t>
  </si>
  <si>
    <t>Scoring - Running Events</t>
  </si>
  <si>
    <t>Disc</t>
  </si>
  <si>
    <t>Orianna</t>
  </si>
  <si>
    <t>Scoring - Relays</t>
  </si>
  <si>
    <t>Hurdles</t>
  </si>
  <si>
    <t>Isaac J</t>
  </si>
  <si>
    <t>Scoring - Field Events</t>
  </si>
  <si>
    <t>200m</t>
  </si>
  <si>
    <t>Rowan</t>
  </si>
  <si>
    <t>800m</t>
  </si>
  <si>
    <t>4x100 relay</t>
  </si>
  <si>
    <t>Nathan</t>
  </si>
  <si>
    <t>400m</t>
  </si>
  <si>
    <t>Londyn</t>
  </si>
  <si>
    <t xml:space="preserve">Scoring system: </t>
  </si>
  <si>
    <t>Individual events</t>
  </si>
  <si>
    <t>100m</t>
  </si>
  <si>
    <t>Place</t>
  </si>
  <si>
    <t>Points</t>
  </si>
  <si>
    <t>4x400 relay</t>
  </si>
  <si>
    <t>Jasper</t>
  </si>
  <si>
    <t>1st place</t>
  </si>
  <si>
    <t>Kayleigh</t>
  </si>
  <si>
    <t>2nd place</t>
  </si>
  <si>
    <t>3rd place</t>
  </si>
  <si>
    <t>4th place</t>
  </si>
  <si>
    <t>Ava</t>
  </si>
  <si>
    <t>5th place</t>
  </si>
  <si>
    <t>Remi</t>
  </si>
  <si>
    <t>Relay events</t>
  </si>
  <si>
    <t>Cora C</t>
  </si>
  <si>
    <t>Santi</t>
  </si>
  <si>
    <t>Jonathan</t>
  </si>
  <si>
    <t>Christopher</t>
  </si>
  <si>
    <t>Cooper</t>
  </si>
  <si>
    <t>Jin</t>
  </si>
  <si>
    <t>Caleb</t>
  </si>
  <si>
    <t>Quentin</t>
  </si>
  <si>
    <t>Ethan</t>
  </si>
  <si>
    <t>Hazel C</t>
  </si>
  <si>
    <t>Marcus</t>
  </si>
  <si>
    <t>Owen</t>
  </si>
  <si>
    <t>Naomi</t>
  </si>
  <si>
    <t>Ian</t>
  </si>
  <si>
    <t>Mattias</t>
  </si>
  <si>
    <t>Hudson</t>
  </si>
  <si>
    <t>Grayson C</t>
  </si>
  <si>
    <t>Issac W</t>
  </si>
  <si>
    <t>Alex E</t>
  </si>
  <si>
    <t>Perrin</t>
  </si>
  <si>
    <t>Gabriel</t>
  </si>
  <si>
    <t>Greyson D</t>
  </si>
  <si>
    <t>Hazel H</t>
  </si>
  <si>
    <t>Cora E</t>
  </si>
  <si>
    <t>Kai</t>
  </si>
  <si>
    <t>Audrey</t>
  </si>
  <si>
    <t>Cycling b</t>
  </si>
  <si>
    <t>Reuben</t>
  </si>
  <si>
    <t>Finley</t>
  </si>
  <si>
    <t>Devin</t>
  </si>
  <si>
    <t>Amelia</t>
  </si>
  <si>
    <t>Gender</t>
  </si>
  <si>
    <t>Time</t>
  </si>
  <si>
    <t>Score</t>
  </si>
  <si>
    <t>Female</t>
  </si>
  <si>
    <t>Male</t>
  </si>
  <si>
    <t>3:31.44</t>
  </si>
  <si>
    <t>3;23</t>
  </si>
  <si>
    <t>2:58.07</t>
  </si>
  <si>
    <t>3:25.28</t>
  </si>
  <si>
    <t>3:28.96</t>
  </si>
  <si>
    <t>3.28.54</t>
  </si>
  <si>
    <t>3:00.63</t>
  </si>
  <si>
    <t>3:00.78</t>
  </si>
  <si>
    <t>3:48.83</t>
  </si>
  <si>
    <t>3:02.63</t>
  </si>
  <si>
    <t>1:07.00</t>
  </si>
  <si>
    <t>1:30.25</t>
  </si>
  <si>
    <t>1:53.92</t>
  </si>
  <si>
    <t>1:58.32</t>
  </si>
  <si>
    <t>1:11.84</t>
  </si>
  <si>
    <t>1:12.00</t>
  </si>
  <si>
    <t>1:45.90</t>
  </si>
  <si>
    <t>1:25.87</t>
  </si>
  <si>
    <t>1:27.00</t>
  </si>
  <si>
    <t>1:58.29</t>
  </si>
  <si>
    <t>2:06.96</t>
  </si>
  <si>
    <t>1:17.36</t>
  </si>
  <si>
    <t>1:15.00</t>
  </si>
  <si>
    <t>4x100 Relay</t>
  </si>
  <si>
    <t>Alex, Hudson, Gabe, Ian</t>
  </si>
  <si>
    <t>1:06.39</t>
  </si>
  <si>
    <t>Addis, Devin, Kai, Albin</t>
  </si>
  <si>
    <t>1:06.46</t>
  </si>
  <si>
    <t>Perrin, Issac, Isabel, Anika</t>
  </si>
  <si>
    <t>1:06.54</t>
  </si>
  <si>
    <t>Cora C, Marcus, Caleb, Jin</t>
  </si>
  <si>
    <t>1:07.7</t>
  </si>
  <si>
    <t>Amelia, Cailee, Hazel, Cora</t>
  </si>
  <si>
    <t>1:07.73</t>
  </si>
  <si>
    <t>Ada, Cooper, Ari, Hazel C</t>
  </si>
  <si>
    <t>1:08.05</t>
  </si>
  <si>
    <t>Saoirse Jasper Thea Grant</t>
  </si>
  <si>
    <t>1:08.9</t>
  </si>
  <si>
    <t>Sylvia, Reuben, Audrey, Greyson D</t>
  </si>
  <si>
    <t>1:10.0</t>
  </si>
  <si>
    <t xml:space="preserve">Evelyn Nathan Ava Rowan </t>
  </si>
  <si>
    <t>1:10.72</t>
  </si>
  <si>
    <t xml:space="preserve">Oriana, Keilei, Lyondon </t>
  </si>
  <si>
    <t>1:11.62</t>
  </si>
  <si>
    <t>4x400m Relay</t>
  </si>
  <si>
    <t xml:space="preserve">Amelia, Audrey,  Cora, Sawyer </t>
  </si>
  <si>
    <t xml:space="preserve">Ben Remi Saoirse Nathan </t>
  </si>
  <si>
    <t>5:54.99</t>
  </si>
  <si>
    <t>Thea Jasper Isaac Ava</t>
  </si>
  <si>
    <t>Keva, Jin, Ethan, Chris</t>
  </si>
  <si>
    <t>Cooper, Cora, Hazel C, Ada</t>
  </si>
  <si>
    <t>Anika, Hudson, Gabe, Perrin</t>
  </si>
  <si>
    <t>Shot Put</t>
  </si>
  <si>
    <t>Throw 1</t>
  </si>
  <si>
    <t>Throw 2</t>
  </si>
  <si>
    <t>Discus</t>
  </si>
  <si>
    <t>Cora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</si>
</sst>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theme="1"/>
      <name val="Calibri"/>
    </font>
    <font>
      <b/>
      <sz val="12.0"/>
      <color theme="1"/>
      <name val="Calibri"/>
    </font>
    <font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sz val="12.0"/>
      <color theme="1"/>
      <name val="Calibri"/>
    </font>
    <font>
      <sz val="11.0"/>
      <color theme="1"/>
      <name val="Arial"/>
    </font>
    <font>
      <sz val="11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horizontal="right" readingOrder="0" vertical="bottom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1" numFmtId="0" xfId="0" applyAlignment="1" applyFont="1">
      <alignment readingOrder="0" vertical="bottom"/>
    </xf>
    <xf borderId="0" fillId="4" fontId="1" numFmtId="0" xfId="0" applyAlignment="1" applyFill="1" applyFont="1">
      <alignment readingOrder="0"/>
    </xf>
    <xf borderId="0" fillId="4" fontId="1" numFmtId="0" xfId="0" applyFont="1"/>
    <xf borderId="0" fillId="4" fontId="1" numFmtId="0" xfId="0" applyAlignment="1" applyFont="1">
      <alignment readingOrder="0" vertical="bottom"/>
    </xf>
    <xf borderId="0" fillId="5" fontId="1" numFmtId="0" xfId="0" applyAlignment="1" applyFill="1" applyFont="1">
      <alignment readingOrder="0"/>
    </xf>
    <xf borderId="0" fillId="5" fontId="1" numFmtId="0" xfId="0" applyFont="1"/>
    <xf borderId="0" fillId="5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3" numFmtId="0" xfId="0" applyFont="1"/>
    <xf borderId="1" fillId="6" fontId="2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readingOrder="0"/>
    </xf>
    <xf borderId="1" fillId="2" fontId="2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readingOrder="0" shrinkToFit="0" wrapText="1"/>
    </xf>
    <xf borderId="1" fillId="4" fontId="2" numFmtId="0" xfId="0" applyAlignment="1" applyBorder="1" applyFont="1">
      <alignment readingOrder="0" shrinkToFit="0" wrapText="1"/>
    </xf>
    <xf borderId="1" fillId="5" fontId="2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1" fillId="6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0" fillId="2" fontId="1" numFmtId="0" xfId="0" applyAlignment="1" applyFont="1">
      <alignment horizontal="left" readingOrder="0" vertical="bottom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1" numFmtId="0" xfId="0" applyAlignment="1" applyFont="1">
      <alignment readingOrder="0" vertical="bottom"/>
    </xf>
    <xf borderId="1" fillId="0" fontId="4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shrinkToFit="0" wrapText="1"/>
    </xf>
    <xf borderId="1" fillId="0" fontId="5" numFmtId="0" xfId="0" applyAlignment="1" applyBorder="1" applyFont="1">
      <alignment readingOrder="0" shrinkToFit="0" wrapText="1"/>
    </xf>
    <xf borderId="0" fillId="0" fontId="1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1"/>
    </xf>
    <xf borderId="1" fillId="0" fontId="4" numFmtId="0" xfId="0" applyAlignment="1" applyBorder="1" applyFont="1">
      <alignment shrinkToFit="0" wrapText="1"/>
    </xf>
    <xf borderId="0" fillId="3" fontId="1" numFmtId="0" xfId="0" applyAlignment="1" applyFont="1">
      <alignment vertical="bottom"/>
    </xf>
    <xf borderId="0" fillId="4" fontId="1" numFmtId="0" xfId="0" applyAlignment="1" applyFont="1">
      <alignment vertical="bottom"/>
    </xf>
    <xf borderId="0" fillId="4" fontId="1" numFmtId="0" xfId="0" applyAlignment="1" applyFont="1">
      <alignment vertical="bottom"/>
    </xf>
    <xf borderId="0" fillId="4" fontId="6" numFmtId="0" xfId="0" applyAlignment="1" applyFont="1">
      <alignment readingOrder="0" vertical="bottom"/>
    </xf>
    <xf borderId="0" fillId="5" fontId="1" numFmtId="0" xfId="0" applyAlignment="1" applyFont="1">
      <alignment vertical="bottom"/>
    </xf>
    <xf borderId="0" fillId="0" fontId="5" numFmtId="3" xfId="0" applyFont="1" applyNumberFormat="1"/>
    <xf borderId="0" fillId="7" fontId="2" numFmtId="0" xfId="0" applyAlignment="1" applyFill="1" applyFont="1">
      <alignment readingOrder="0"/>
    </xf>
    <xf borderId="0" fillId="7" fontId="2" numFmtId="3" xfId="0" applyAlignment="1" applyFont="1" applyNumberFormat="1">
      <alignment readingOrder="0"/>
    </xf>
    <xf borderId="0" fillId="7" fontId="1" numFmtId="0" xfId="0" applyFont="1"/>
    <xf borderId="0" fillId="0" fontId="7" numFmtId="0" xfId="0" applyAlignment="1" applyFont="1">
      <alignment shrinkToFit="0" vertical="bottom" wrapText="1"/>
    </xf>
    <xf borderId="0" fillId="0" fontId="1" numFmtId="3" xfId="0" applyAlignment="1" applyFont="1" applyNumberFormat="1">
      <alignment readingOrder="0"/>
    </xf>
    <xf borderId="0" fillId="0" fontId="7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 shrinkToFit="0" wrapText="1"/>
    </xf>
    <xf borderId="0" fillId="8" fontId="1" numFmtId="0" xfId="0" applyFill="1" applyFont="1"/>
    <xf borderId="0" fillId="0" fontId="1" numFmtId="20" xfId="0" applyAlignment="1" applyFont="1" applyNumberFormat="1">
      <alignment readingOrder="0"/>
    </xf>
    <xf borderId="0" fillId="8" fontId="1" numFmtId="0" xfId="0" applyAlignment="1" applyFont="1">
      <alignment readingOrder="0"/>
    </xf>
    <xf borderId="0" fillId="8" fontId="2" numFmtId="0" xfId="0" applyAlignment="1" applyFont="1">
      <alignment readingOrder="0"/>
    </xf>
    <xf borderId="0" fillId="8" fontId="1" numFmtId="20" xfId="0" applyAlignment="1" applyFont="1" applyNumberFormat="1">
      <alignment readingOrder="0"/>
    </xf>
    <xf borderId="0" fillId="0" fontId="1" numFmtId="3" xfId="0" applyFont="1" applyNumberFormat="1"/>
    <xf borderId="0" fillId="7" fontId="5" numFmtId="0" xfId="0" applyFont="1"/>
    <xf borderId="0" fillId="0" fontId="2" numFmtId="0" xfId="0" applyFont="1"/>
    <xf borderId="0" fillId="0" fontId="1" numFmtId="2" xfId="0" applyFont="1" applyNumberFormat="1"/>
    <xf borderId="0" fillId="7" fontId="2" numFmtId="2" xfId="0" applyAlignment="1" applyFont="1" applyNumberFormat="1">
      <alignment readingOrder="0"/>
    </xf>
    <xf borderId="0" fillId="7" fontId="4" numFmtId="0" xfId="0" applyFont="1"/>
    <xf borderId="0" fillId="0" fontId="1" numFmtId="2" xfId="0" applyAlignment="1" applyFont="1" applyNumberFormat="1">
      <alignment readingOrder="0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  <tableStyles count="2">
    <tableStyle count="2" pivot="0" name="Totals-style">
      <tableStyleElement dxfId="1" type="firstRowStripe"/>
      <tableStyleElement dxfId="2" type="secondRowStripe"/>
    </tableStyle>
    <tableStyle count="2" pivot="0" name="Totals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I19:I25" displayName="Table_1" name="Table_1" id="1">
  <tableColumns count="1">
    <tableColumn name="Column1" id="1"/>
  </tableColumns>
  <tableStyleInfo name="Totals-style" showColumnStripes="0" showFirstColumn="1" showLastColumn="1" showRowStripes="1"/>
</table>
</file>

<file path=xl/tables/table2.xml><?xml version="1.0" encoding="utf-8"?>
<table xmlns="http://schemas.openxmlformats.org/spreadsheetml/2006/main" headerRowCount="0" ref="I26:I59" displayName="Table_2" name="Table_2" id="2">
  <tableColumns count="1">
    <tableColumn name="Column1" id="1"/>
  </tableColumns>
  <tableStyleInfo name="Total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13"/>
    <col customWidth="1" min="3" max="3" width="15.13"/>
    <col customWidth="1" min="4" max="4" width="16.88"/>
    <col customWidth="1" min="5" max="5" width="15.88"/>
    <col customWidth="1" min="7" max="7" width="14.5"/>
    <col customWidth="1" min="17" max="17" width="21.5"/>
    <col customWidth="1" min="18" max="18" width="1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/>
      <c r="H2" s="3"/>
      <c r="I2" s="3"/>
      <c r="J2" s="1"/>
      <c r="K2" s="1"/>
      <c r="L2" s="1"/>
      <c r="M2" s="1"/>
      <c r="N2" s="1"/>
      <c r="O2" s="1"/>
      <c r="P2" s="1"/>
    </row>
    <row r="3">
      <c r="A3" s="4" t="s">
        <v>6</v>
      </c>
      <c r="B3" s="4"/>
      <c r="C3" s="4"/>
      <c r="D3" s="4"/>
      <c r="E3" s="5"/>
      <c r="F3" s="4" t="s">
        <v>7</v>
      </c>
      <c r="G3" s="6" t="s">
        <v>8</v>
      </c>
      <c r="H3" s="6" t="s">
        <v>9</v>
      </c>
      <c r="I3" s="7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</row>
    <row r="4">
      <c r="A4" s="8" t="s">
        <v>19</v>
      </c>
      <c r="B4" s="9"/>
      <c r="C4" s="9"/>
      <c r="D4" s="9"/>
      <c r="E4" s="9"/>
      <c r="F4" s="8" t="s">
        <v>20</v>
      </c>
      <c r="G4" s="10" t="s">
        <v>21</v>
      </c>
      <c r="H4" s="8" t="s">
        <v>22</v>
      </c>
      <c r="I4" s="8" t="s">
        <v>23</v>
      </c>
      <c r="J4" s="8" t="s">
        <v>24</v>
      </c>
      <c r="K4" s="8" t="s">
        <v>25</v>
      </c>
      <c r="L4" s="8" t="s">
        <v>26</v>
      </c>
      <c r="M4" s="8" t="s">
        <v>27</v>
      </c>
      <c r="N4" s="8" t="s">
        <v>28</v>
      </c>
      <c r="O4" s="8" t="s">
        <v>29</v>
      </c>
      <c r="P4" s="8" t="s">
        <v>30</v>
      </c>
      <c r="Q4" s="8" t="s">
        <v>31</v>
      </c>
    </row>
    <row r="5">
      <c r="A5" s="11" t="s">
        <v>32</v>
      </c>
      <c r="B5" s="12"/>
      <c r="C5" s="12"/>
      <c r="D5" s="12"/>
      <c r="E5" s="12"/>
      <c r="F5" s="11" t="s">
        <v>33</v>
      </c>
      <c r="G5" s="13" t="s">
        <v>34</v>
      </c>
      <c r="H5" s="11" t="s">
        <v>35</v>
      </c>
      <c r="I5" s="11" t="s">
        <v>36</v>
      </c>
      <c r="J5" s="11" t="s">
        <v>37</v>
      </c>
      <c r="K5" s="11" t="s">
        <v>38</v>
      </c>
      <c r="L5" s="11" t="s">
        <v>39</v>
      </c>
      <c r="M5" s="11" t="s">
        <v>40</v>
      </c>
      <c r="N5" s="11" t="s">
        <v>41</v>
      </c>
      <c r="O5" s="11" t="s">
        <v>42</v>
      </c>
      <c r="P5" s="11" t="s">
        <v>43</v>
      </c>
      <c r="Q5" s="11"/>
    </row>
    <row r="6">
      <c r="A6" s="14" t="s">
        <v>44</v>
      </c>
      <c r="B6" s="15"/>
      <c r="C6" s="14"/>
      <c r="D6" s="15"/>
      <c r="E6" s="15"/>
      <c r="F6" s="14" t="s">
        <v>45</v>
      </c>
      <c r="G6" s="16" t="s">
        <v>46</v>
      </c>
      <c r="H6" s="14" t="s">
        <v>47</v>
      </c>
      <c r="I6" s="14" t="s">
        <v>48</v>
      </c>
      <c r="J6" s="14" t="s">
        <v>49</v>
      </c>
      <c r="K6" s="14" t="s">
        <v>50</v>
      </c>
      <c r="L6" s="14" t="s">
        <v>51</v>
      </c>
      <c r="M6" s="14" t="s">
        <v>52</v>
      </c>
      <c r="N6" s="14" t="s">
        <v>53</v>
      </c>
      <c r="O6" s="14" t="s">
        <v>54</v>
      </c>
      <c r="P6" s="14" t="s">
        <v>55</v>
      </c>
      <c r="Q6" s="14"/>
      <c r="R6" s="17"/>
    </row>
    <row r="7">
      <c r="A7" s="17" t="s">
        <v>56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B8" s="1"/>
      <c r="C8" s="1"/>
      <c r="D8" s="1"/>
      <c r="E8" s="1"/>
      <c r="F8" s="17"/>
      <c r="G8" s="17"/>
      <c r="H8" s="18"/>
      <c r="I8" s="17"/>
      <c r="J8" s="17"/>
      <c r="K8" s="17"/>
      <c r="L8" s="17"/>
      <c r="M8" s="17"/>
      <c r="N8" s="1"/>
      <c r="O8" s="1"/>
      <c r="P8" s="1"/>
      <c r="Q8" s="1"/>
      <c r="R8" s="1"/>
    </row>
    <row r="9">
      <c r="B9" s="1"/>
      <c r="C9" s="1"/>
      <c r="D9" s="1"/>
      <c r="E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C10" s="1"/>
      <c r="D10" s="1"/>
      <c r="E10" s="1"/>
      <c r="P10" s="1"/>
      <c r="Q10" s="1"/>
      <c r="R10" s="1"/>
    </row>
    <row r="11">
      <c r="C11" s="1"/>
      <c r="D11" s="1"/>
      <c r="E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C12" s="1"/>
      <c r="D12" s="1"/>
      <c r="E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C13" s="1"/>
      <c r="D13" s="1"/>
      <c r="E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B14" s="1"/>
      <c r="C14" s="1"/>
      <c r="D14" s="1"/>
      <c r="E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B15" s="1"/>
      <c r="C15" s="1"/>
      <c r="D15" s="1"/>
      <c r="E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17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7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1.13"/>
    <col customWidth="1" min="10" max="10" width="19.25"/>
  </cols>
  <sheetData>
    <row r="1">
      <c r="A1" s="19" t="s">
        <v>57</v>
      </c>
      <c r="B1" s="20" t="s">
        <v>58</v>
      </c>
      <c r="C1" s="20" t="s">
        <v>59</v>
      </c>
      <c r="D1" s="20" t="s">
        <v>60</v>
      </c>
      <c r="E1" s="20" t="s">
        <v>61</v>
      </c>
      <c r="G1" s="21" t="s">
        <v>62</v>
      </c>
      <c r="I1" s="22" t="s">
        <v>63</v>
      </c>
      <c r="J1" s="22" t="s">
        <v>64</v>
      </c>
      <c r="K1" s="23" t="s">
        <v>65</v>
      </c>
    </row>
    <row r="2">
      <c r="A2" s="19" t="s">
        <v>0</v>
      </c>
      <c r="B2" s="24" t="s">
        <v>66</v>
      </c>
      <c r="C2" s="25" t="s">
        <v>67</v>
      </c>
      <c r="D2" s="26" t="s">
        <v>68</v>
      </c>
      <c r="E2" s="27" t="s">
        <v>69</v>
      </c>
      <c r="G2" s="28" t="s">
        <v>70</v>
      </c>
      <c r="I2" s="4" t="s">
        <v>12</v>
      </c>
      <c r="J2" s="29" t="str">
        <f t="shared" ref="J2:J15" si="1">$B$2</f>
        <v>Robert</v>
      </c>
      <c r="K2" s="30">
        <v>8.0</v>
      </c>
    </row>
    <row r="3">
      <c r="A3" s="31" t="s">
        <v>71</v>
      </c>
      <c r="B3" s="32">
        <f>sumif('Scoring - Running Events'!A:A,B2,'Scoring - Running Events'!G:G)</f>
        <v>134</v>
      </c>
      <c r="C3" s="32">
        <f>sumif('Scoring - Running Events'!A:A,C2,'Scoring - Running Events'!G:G)</f>
        <v>204</v>
      </c>
      <c r="D3" s="33">
        <f>sumif('Scoring - Running Events'!A:A,D2,'Scoring - Running Events'!G:G)</f>
        <v>88</v>
      </c>
      <c r="E3" s="32">
        <f>sumif('Scoring - Running Events'!A:A,E2,'Scoring - Running Events'!G:G)</f>
        <v>134</v>
      </c>
      <c r="G3" s="28" t="s">
        <v>72</v>
      </c>
      <c r="I3" s="6" t="s">
        <v>73</v>
      </c>
      <c r="J3" s="29" t="str">
        <f t="shared" si="1"/>
        <v>Robert</v>
      </c>
      <c r="K3" s="30">
        <v>8.0</v>
      </c>
    </row>
    <row r="4">
      <c r="A4" s="31" t="s">
        <v>74</v>
      </c>
      <c r="B4" s="32">
        <f>sumif('Scoring - Relays'!A:A,B2,'Scoring - Relays'!E:E)</f>
        <v>48</v>
      </c>
      <c r="C4" s="33">
        <f>sumif('Scoring - Relays'!A:A,C2,'Scoring - Relays'!E:E)</f>
        <v>52</v>
      </c>
      <c r="D4" s="33">
        <f>sumif('Scoring - Relays'!A:A,D2,'Scoring - Relays'!E:E)</f>
        <v>46</v>
      </c>
      <c r="E4" s="33">
        <f>sumif('Scoring - Relays'!A:A,E2,'Scoring - Relays'!E:E)</f>
        <v>54</v>
      </c>
      <c r="G4" s="21" t="s">
        <v>75</v>
      </c>
      <c r="I4" s="6" t="s">
        <v>76</v>
      </c>
      <c r="J4" s="29" t="str">
        <f t="shared" si="1"/>
        <v>Robert</v>
      </c>
      <c r="K4" s="30">
        <v>8.0</v>
      </c>
    </row>
    <row r="5">
      <c r="A5" s="31" t="s">
        <v>77</v>
      </c>
      <c r="B5" s="33">
        <f>sumif('Scoring - Field Events'!A:A,B2,'Scoring - Field Events'!H:H)</f>
        <v>58</v>
      </c>
      <c r="C5" s="33">
        <f>sumif('Scoring - Field Events'!A:A,C2,'Scoring - Field Events'!H:H)</f>
        <v>34</v>
      </c>
      <c r="D5" s="33">
        <f>sumif('Scoring - Field Events'!A:A,D2,'Scoring - Field Events'!H:H)</f>
        <v>32</v>
      </c>
      <c r="E5" s="33">
        <f>sumif('Scoring - Field Events'!A:A,E2,'Scoring - Field Events'!H:H)</f>
        <v>74</v>
      </c>
      <c r="G5" s="21" t="s">
        <v>78</v>
      </c>
      <c r="I5" s="34" t="s">
        <v>79</v>
      </c>
      <c r="J5" s="29" t="str">
        <f t="shared" si="1"/>
        <v>Robert</v>
      </c>
      <c r="K5" s="30">
        <v>8.0</v>
      </c>
    </row>
    <row r="6">
      <c r="A6" s="35" t="s">
        <v>1</v>
      </c>
      <c r="B6" s="36">
        <f t="shared" ref="B6:E6" si="2">sum(B3:B5)</f>
        <v>240</v>
      </c>
      <c r="C6" s="36">
        <f t="shared" si="2"/>
        <v>290</v>
      </c>
      <c r="D6" s="36">
        <f t="shared" si="2"/>
        <v>166</v>
      </c>
      <c r="E6" s="36">
        <f t="shared" si="2"/>
        <v>262</v>
      </c>
      <c r="G6" s="21" t="s">
        <v>80</v>
      </c>
      <c r="I6" s="4" t="s">
        <v>24</v>
      </c>
      <c r="J6" s="29" t="str">
        <f t="shared" si="1"/>
        <v>Robert</v>
      </c>
      <c r="K6" s="30">
        <v>7.0</v>
      </c>
    </row>
    <row r="7">
      <c r="A7" s="1"/>
      <c r="B7" s="37"/>
      <c r="C7" s="37"/>
      <c r="D7" s="37"/>
      <c r="E7" s="37"/>
      <c r="G7" s="21" t="s">
        <v>81</v>
      </c>
      <c r="I7" s="4" t="s">
        <v>82</v>
      </c>
      <c r="J7" s="29" t="str">
        <f t="shared" si="1"/>
        <v>Robert</v>
      </c>
      <c r="K7" s="30">
        <v>7.0</v>
      </c>
    </row>
    <row r="8">
      <c r="A8" s="17"/>
      <c r="B8" s="38"/>
      <c r="C8" s="38"/>
      <c r="D8" s="38"/>
      <c r="E8" s="38"/>
      <c r="G8" s="21" t="s">
        <v>83</v>
      </c>
      <c r="I8" s="4" t="s">
        <v>84</v>
      </c>
      <c r="J8" s="29" t="str">
        <f t="shared" si="1"/>
        <v>Robert</v>
      </c>
      <c r="K8" s="30">
        <v>7.0</v>
      </c>
    </row>
    <row r="9">
      <c r="A9" s="39" t="s">
        <v>85</v>
      </c>
      <c r="B9" s="40" t="s">
        <v>86</v>
      </c>
      <c r="C9" s="41"/>
      <c r="D9" s="38"/>
      <c r="E9" s="38"/>
      <c r="G9" s="21" t="s">
        <v>87</v>
      </c>
      <c r="I9" s="4" t="s">
        <v>7</v>
      </c>
      <c r="J9" s="29" t="str">
        <f t="shared" si="1"/>
        <v>Robert</v>
      </c>
      <c r="K9" s="30">
        <v>6.0</v>
      </c>
    </row>
    <row r="10">
      <c r="B10" s="42" t="s">
        <v>88</v>
      </c>
      <c r="C10" s="42" t="s">
        <v>89</v>
      </c>
      <c r="D10" s="38"/>
      <c r="E10" s="38"/>
      <c r="G10" s="21" t="s">
        <v>90</v>
      </c>
      <c r="I10" s="4" t="s">
        <v>91</v>
      </c>
      <c r="J10" s="29" t="str">
        <f t="shared" si="1"/>
        <v>Robert</v>
      </c>
      <c r="K10" s="30">
        <v>5.0</v>
      </c>
    </row>
    <row r="11">
      <c r="A11" s="43"/>
      <c r="B11" s="42" t="s">
        <v>92</v>
      </c>
      <c r="C11" s="42">
        <v>10.0</v>
      </c>
      <c r="D11" s="38"/>
      <c r="E11" s="38"/>
      <c r="I11" s="4" t="s">
        <v>93</v>
      </c>
      <c r="J11" s="29" t="str">
        <f t="shared" si="1"/>
        <v>Robert</v>
      </c>
      <c r="K11" s="30">
        <v>5.0</v>
      </c>
    </row>
    <row r="12">
      <c r="A12" s="17"/>
      <c r="B12" s="42" t="s">
        <v>94</v>
      </c>
      <c r="C12" s="42">
        <v>8.0</v>
      </c>
      <c r="D12" s="38"/>
      <c r="E12" s="38"/>
      <c r="I12" s="4" t="s">
        <v>8</v>
      </c>
      <c r="J12" s="29" t="str">
        <f t="shared" si="1"/>
        <v>Robert</v>
      </c>
      <c r="K12" s="30">
        <v>6.0</v>
      </c>
    </row>
    <row r="13">
      <c r="A13" s="17"/>
      <c r="B13" s="42" t="s">
        <v>95</v>
      </c>
      <c r="C13" s="42">
        <v>6.0</v>
      </c>
      <c r="D13" s="38"/>
      <c r="E13" s="38"/>
      <c r="I13" s="4" t="s">
        <v>11</v>
      </c>
      <c r="J13" s="29" t="str">
        <f t="shared" si="1"/>
        <v>Robert</v>
      </c>
      <c r="K13" s="30">
        <v>6.0</v>
      </c>
    </row>
    <row r="14">
      <c r="A14" s="17"/>
      <c r="B14" s="42" t="s">
        <v>96</v>
      </c>
      <c r="C14" s="42">
        <v>4.0</v>
      </c>
      <c r="D14" s="38"/>
      <c r="E14" s="38"/>
      <c r="I14" s="4" t="s">
        <v>97</v>
      </c>
      <c r="J14" s="29" t="str">
        <f t="shared" si="1"/>
        <v>Robert</v>
      </c>
      <c r="K14" s="30">
        <v>5.0</v>
      </c>
    </row>
    <row r="15">
      <c r="A15" s="17"/>
      <c r="B15" s="42" t="s">
        <v>98</v>
      </c>
      <c r="C15" s="42">
        <v>2.0</v>
      </c>
      <c r="D15" s="38"/>
      <c r="E15" s="38"/>
      <c r="I15" s="4" t="s">
        <v>99</v>
      </c>
      <c r="J15" s="29" t="str">
        <f t="shared" si="1"/>
        <v>Robert</v>
      </c>
      <c r="K15" s="30">
        <v>5.0</v>
      </c>
    </row>
    <row r="16">
      <c r="A16" s="17"/>
      <c r="B16" s="44"/>
      <c r="C16" s="38"/>
      <c r="D16" s="38"/>
      <c r="E16" s="38"/>
    </row>
    <row r="17">
      <c r="A17" s="17"/>
      <c r="B17" s="20" t="s">
        <v>100</v>
      </c>
      <c r="C17" s="45"/>
      <c r="D17" s="38"/>
      <c r="E17" s="38"/>
      <c r="I17" s="46" t="s">
        <v>101</v>
      </c>
      <c r="J17" s="29" t="str">
        <f t="shared" ref="J17:J31" si="3">$C$2</f>
        <v>Imagine Pope Kiwis III</v>
      </c>
      <c r="K17" s="30">
        <v>8.0</v>
      </c>
    </row>
    <row r="18">
      <c r="A18" s="17"/>
      <c r="B18" s="42" t="s">
        <v>88</v>
      </c>
      <c r="C18" s="42" t="s">
        <v>89</v>
      </c>
      <c r="D18" s="38"/>
      <c r="E18" s="38"/>
      <c r="I18" s="46" t="s">
        <v>102</v>
      </c>
      <c r="J18" s="29" t="str">
        <f t="shared" si="3"/>
        <v>Imagine Pope Kiwis III</v>
      </c>
      <c r="K18" s="30">
        <v>8.0</v>
      </c>
    </row>
    <row r="19">
      <c r="A19" s="17"/>
      <c r="B19" s="42" t="s">
        <v>92</v>
      </c>
      <c r="C19" s="42">
        <v>20.0</v>
      </c>
      <c r="D19" s="38"/>
      <c r="E19" s="38"/>
      <c r="I19" s="46" t="s">
        <v>50</v>
      </c>
      <c r="J19" s="29" t="str">
        <f t="shared" si="3"/>
        <v>Imagine Pope Kiwis III</v>
      </c>
      <c r="K19" s="30">
        <v>8.0</v>
      </c>
    </row>
    <row r="20">
      <c r="A20" s="17"/>
      <c r="B20" s="42" t="s">
        <v>94</v>
      </c>
      <c r="C20" s="42">
        <v>16.0</v>
      </c>
      <c r="D20" s="38"/>
      <c r="E20" s="38"/>
      <c r="I20" s="46" t="s">
        <v>103</v>
      </c>
      <c r="J20" s="29" t="str">
        <f t="shared" si="3"/>
        <v>Imagine Pope Kiwis III</v>
      </c>
      <c r="K20" s="30">
        <v>8.0</v>
      </c>
    </row>
    <row r="21">
      <c r="A21" s="17"/>
      <c r="B21" s="42" t="s">
        <v>95</v>
      </c>
      <c r="C21" s="42">
        <v>12.0</v>
      </c>
      <c r="D21" s="38"/>
      <c r="E21" s="38"/>
      <c r="I21" s="46" t="s">
        <v>104</v>
      </c>
      <c r="J21" s="29" t="str">
        <f t="shared" si="3"/>
        <v>Imagine Pope Kiwis III</v>
      </c>
      <c r="K21" s="30">
        <v>8.0</v>
      </c>
    </row>
    <row r="22">
      <c r="A22" s="17"/>
      <c r="B22" s="42" t="s">
        <v>96</v>
      </c>
      <c r="C22" s="42">
        <v>8.0</v>
      </c>
      <c r="D22" s="38"/>
      <c r="E22" s="38"/>
      <c r="I22" s="46" t="s">
        <v>105</v>
      </c>
      <c r="J22" s="29" t="str">
        <f t="shared" si="3"/>
        <v>Imagine Pope Kiwis III</v>
      </c>
      <c r="K22" s="30">
        <v>7.0</v>
      </c>
    </row>
    <row r="23">
      <c r="A23" s="39"/>
      <c r="B23" s="42" t="s">
        <v>98</v>
      </c>
      <c r="C23" s="42">
        <v>4.0</v>
      </c>
      <c r="D23" s="38"/>
      <c r="E23" s="38"/>
      <c r="I23" s="46" t="s">
        <v>106</v>
      </c>
      <c r="J23" s="29" t="str">
        <f t="shared" si="3"/>
        <v>Imagine Pope Kiwis III</v>
      </c>
      <c r="K23" s="30">
        <v>7.0</v>
      </c>
    </row>
    <row r="24">
      <c r="A24" s="17"/>
      <c r="B24" s="38"/>
      <c r="C24" s="38"/>
      <c r="D24" s="38"/>
      <c r="E24" s="38"/>
      <c r="I24" s="46" t="s">
        <v>20</v>
      </c>
      <c r="J24" s="29" t="str">
        <f t="shared" si="3"/>
        <v>Imagine Pope Kiwis III</v>
      </c>
      <c r="K24" s="30">
        <v>6.0</v>
      </c>
    </row>
    <row r="25">
      <c r="A25" s="17"/>
      <c r="B25" s="38"/>
      <c r="C25" s="38"/>
      <c r="D25" s="38"/>
      <c r="E25" s="38"/>
      <c r="I25" s="46" t="s">
        <v>34</v>
      </c>
      <c r="J25" s="29" t="str">
        <f t="shared" si="3"/>
        <v>Imagine Pope Kiwis III</v>
      </c>
      <c r="K25" s="30">
        <v>6.0</v>
      </c>
    </row>
    <row r="26">
      <c r="A26" s="17"/>
      <c r="B26" s="38"/>
      <c r="C26" s="38"/>
      <c r="D26" s="38"/>
      <c r="E26" s="38"/>
      <c r="I26" s="46" t="s">
        <v>107</v>
      </c>
      <c r="J26" s="29" t="str">
        <f t="shared" si="3"/>
        <v>Imagine Pope Kiwis III</v>
      </c>
      <c r="K26" s="30">
        <v>6.0</v>
      </c>
    </row>
    <row r="27">
      <c r="A27" s="17"/>
      <c r="B27" s="38"/>
      <c r="C27" s="38"/>
      <c r="D27" s="38"/>
      <c r="E27" s="38"/>
      <c r="I27" s="46" t="s">
        <v>108</v>
      </c>
      <c r="J27" s="29" t="str">
        <f t="shared" si="3"/>
        <v>Imagine Pope Kiwis III</v>
      </c>
      <c r="K27" s="30">
        <v>5.0</v>
      </c>
    </row>
    <row r="28">
      <c r="A28" s="17"/>
      <c r="B28" s="38"/>
      <c r="C28" s="38"/>
      <c r="D28" s="38"/>
      <c r="E28" s="38"/>
      <c r="I28" s="46" t="s">
        <v>109</v>
      </c>
      <c r="J28" s="29" t="str">
        <f t="shared" si="3"/>
        <v>Imagine Pope Kiwis III</v>
      </c>
      <c r="K28" s="30">
        <v>5.0</v>
      </c>
    </row>
    <row r="29">
      <c r="A29" s="17"/>
      <c r="B29" s="38"/>
      <c r="C29" s="38"/>
      <c r="D29" s="38"/>
      <c r="E29" s="38"/>
      <c r="I29" s="46" t="s">
        <v>14</v>
      </c>
      <c r="J29" s="29" t="str">
        <f t="shared" si="3"/>
        <v>Imagine Pope Kiwis III</v>
      </c>
      <c r="K29" s="30">
        <v>8.0</v>
      </c>
    </row>
    <row r="30">
      <c r="A30" s="17"/>
      <c r="B30" s="38"/>
      <c r="C30" s="38"/>
      <c r="D30" s="38"/>
      <c r="E30" s="38"/>
      <c r="I30" s="46" t="s">
        <v>110</v>
      </c>
      <c r="J30" s="29" t="str">
        <f t="shared" si="3"/>
        <v>Imagine Pope Kiwis III</v>
      </c>
      <c r="K30" s="30">
        <v>5.0</v>
      </c>
    </row>
    <row r="31">
      <c r="A31" s="17"/>
      <c r="B31" s="38"/>
      <c r="C31" s="38"/>
      <c r="D31" s="38"/>
      <c r="E31" s="38"/>
      <c r="I31" s="46" t="s">
        <v>111</v>
      </c>
      <c r="J31" s="29" t="str">
        <f t="shared" si="3"/>
        <v>Imagine Pope Kiwis III</v>
      </c>
      <c r="K31" s="30">
        <v>5.0</v>
      </c>
    </row>
    <row r="32">
      <c r="A32" s="17"/>
      <c r="B32" s="38"/>
      <c r="C32" s="38"/>
      <c r="D32" s="38"/>
      <c r="E32" s="38"/>
      <c r="I32" s="47" t="s">
        <v>112</v>
      </c>
      <c r="J32" s="29" t="str">
        <f t="shared" ref="J32:J45" si="4">$D$2</f>
        <v>Red Dead Cheetahs</v>
      </c>
      <c r="K32" s="30">
        <v>8.0</v>
      </c>
    </row>
    <row r="33">
      <c r="A33" s="17"/>
      <c r="B33" s="38"/>
      <c r="C33" s="38"/>
      <c r="D33" s="38"/>
      <c r="E33" s="38"/>
      <c r="I33" s="47" t="s">
        <v>113</v>
      </c>
      <c r="J33" s="29" t="str">
        <f t="shared" si="4"/>
        <v>Red Dead Cheetahs</v>
      </c>
      <c r="K33" s="30">
        <v>8.0</v>
      </c>
    </row>
    <row r="34">
      <c r="A34" s="17"/>
      <c r="B34" s="38"/>
      <c r="C34" s="38"/>
      <c r="D34" s="38"/>
      <c r="E34" s="38"/>
      <c r="I34" s="47" t="s">
        <v>114</v>
      </c>
      <c r="J34" s="29" t="str">
        <f t="shared" si="4"/>
        <v>Red Dead Cheetahs</v>
      </c>
      <c r="K34" s="30">
        <v>8.0</v>
      </c>
    </row>
    <row r="35">
      <c r="A35" s="17"/>
      <c r="B35" s="38"/>
      <c r="C35" s="38"/>
      <c r="D35" s="38"/>
      <c r="E35" s="38"/>
      <c r="I35" s="48" t="s">
        <v>40</v>
      </c>
      <c r="J35" s="29" t="str">
        <f t="shared" si="4"/>
        <v>Red Dead Cheetahs</v>
      </c>
      <c r="K35" s="30">
        <v>8.0</v>
      </c>
    </row>
    <row r="36">
      <c r="A36" s="17"/>
      <c r="B36" s="38"/>
      <c r="C36" s="38"/>
      <c r="D36" s="38"/>
      <c r="E36" s="38"/>
      <c r="I36" s="48" t="s">
        <v>115</v>
      </c>
      <c r="J36" s="29" t="str">
        <f t="shared" si="4"/>
        <v>Red Dead Cheetahs</v>
      </c>
      <c r="K36" s="30">
        <v>7.0</v>
      </c>
    </row>
    <row r="37">
      <c r="A37" s="17"/>
      <c r="B37" s="38"/>
      <c r="C37" s="38"/>
      <c r="D37" s="38"/>
      <c r="E37" s="38"/>
      <c r="I37" s="48" t="s">
        <v>116</v>
      </c>
      <c r="J37" s="29" t="str">
        <f t="shared" si="4"/>
        <v>Red Dead Cheetahs</v>
      </c>
      <c r="K37" s="30">
        <v>7.0</v>
      </c>
    </row>
    <row r="38">
      <c r="A38" s="39"/>
      <c r="B38" s="38"/>
      <c r="C38" s="38"/>
      <c r="D38" s="38"/>
      <c r="E38" s="38"/>
      <c r="I38" s="48" t="s">
        <v>49</v>
      </c>
      <c r="J38" s="29" t="str">
        <f t="shared" si="4"/>
        <v>Red Dead Cheetahs</v>
      </c>
      <c r="K38" s="30">
        <v>7.0</v>
      </c>
    </row>
    <row r="39">
      <c r="A39" s="17"/>
      <c r="B39" s="38"/>
      <c r="C39" s="38"/>
      <c r="D39" s="38"/>
      <c r="E39" s="38"/>
      <c r="I39" s="48" t="s">
        <v>117</v>
      </c>
      <c r="J39" s="29" t="str">
        <f t="shared" si="4"/>
        <v>Red Dead Cheetahs</v>
      </c>
      <c r="K39" s="30">
        <v>6.0</v>
      </c>
    </row>
    <row r="40">
      <c r="A40" s="17"/>
      <c r="B40" s="38"/>
      <c r="C40" s="38"/>
      <c r="D40" s="38"/>
      <c r="E40" s="38"/>
      <c r="I40" s="48" t="s">
        <v>46</v>
      </c>
      <c r="J40" s="29" t="str">
        <f t="shared" si="4"/>
        <v>Red Dead Cheetahs</v>
      </c>
      <c r="K40" s="30">
        <v>6.0</v>
      </c>
    </row>
    <row r="41">
      <c r="A41" s="17"/>
      <c r="B41" s="38"/>
      <c r="C41" s="38"/>
      <c r="D41" s="38"/>
      <c r="E41" s="38"/>
      <c r="I41" s="48" t="s">
        <v>118</v>
      </c>
      <c r="J41" s="29" t="str">
        <f t="shared" si="4"/>
        <v>Red Dead Cheetahs</v>
      </c>
      <c r="K41" s="30">
        <v>6.0</v>
      </c>
    </row>
    <row r="42">
      <c r="A42" s="17"/>
      <c r="B42" s="38"/>
      <c r="C42" s="38"/>
      <c r="D42" s="38"/>
      <c r="E42" s="38"/>
      <c r="I42" s="48" t="s">
        <v>119</v>
      </c>
      <c r="J42" s="29" t="str">
        <f t="shared" si="4"/>
        <v>Red Dead Cheetahs</v>
      </c>
      <c r="K42" s="30">
        <v>5.0</v>
      </c>
    </row>
    <row r="43">
      <c r="A43" s="17"/>
      <c r="B43" s="38"/>
      <c r="C43" s="38"/>
      <c r="D43" s="38"/>
      <c r="E43" s="38"/>
      <c r="I43" s="48" t="s">
        <v>120</v>
      </c>
      <c r="J43" s="29" t="str">
        <f t="shared" si="4"/>
        <v>Red Dead Cheetahs</v>
      </c>
      <c r="K43" s="30">
        <v>5.0</v>
      </c>
    </row>
    <row r="44">
      <c r="A44" s="17"/>
      <c r="B44" s="38"/>
      <c r="C44" s="38"/>
      <c r="D44" s="38"/>
      <c r="E44" s="38"/>
      <c r="I44" s="48" t="s">
        <v>121</v>
      </c>
      <c r="J44" s="29" t="str">
        <f t="shared" si="4"/>
        <v>Red Dead Cheetahs</v>
      </c>
      <c r="K44" s="30">
        <v>5.0</v>
      </c>
    </row>
    <row r="45">
      <c r="A45" s="17"/>
      <c r="B45" s="38"/>
      <c r="C45" s="38"/>
      <c r="D45" s="38"/>
      <c r="E45" s="38"/>
      <c r="I45" s="49" t="s">
        <v>39</v>
      </c>
      <c r="J45" s="29" t="str">
        <f t="shared" si="4"/>
        <v>Red Dead Cheetahs</v>
      </c>
      <c r="K45" s="30">
        <v>8.0</v>
      </c>
    </row>
    <row r="46">
      <c r="A46" s="17"/>
      <c r="B46" s="38"/>
      <c r="C46" s="38"/>
      <c r="D46" s="38"/>
      <c r="E46" s="38"/>
      <c r="I46" s="50" t="s">
        <v>122</v>
      </c>
      <c r="J46" s="29" t="str">
        <f t="shared" ref="J46:J59" si="5">$E$2</f>
        <v>Jurassic Chickens</v>
      </c>
      <c r="K46" s="30">
        <v>8.0</v>
      </c>
    </row>
    <row r="47">
      <c r="A47" s="17"/>
      <c r="B47" s="38"/>
      <c r="C47" s="38"/>
      <c r="D47" s="38"/>
      <c r="E47" s="38"/>
      <c r="I47" s="50" t="s">
        <v>123</v>
      </c>
      <c r="J47" s="29" t="str">
        <f t="shared" si="5"/>
        <v>Jurassic Chickens</v>
      </c>
      <c r="K47" s="30">
        <v>8.0</v>
      </c>
    </row>
    <row r="48">
      <c r="A48" s="17"/>
      <c r="B48" s="38"/>
      <c r="C48" s="38"/>
      <c r="D48" s="38"/>
      <c r="E48" s="38"/>
      <c r="I48" s="50" t="s">
        <v>27</v>
      </c>
      <c r="J48" s="29" t="str">
        <f t="shared" si="5"/>
        <v>Jurassic Chickens</v>
      </c>
      <c r="K48" s="30">
        <v>8.0</v>
      </c>
    </row>
    <row r="49">
      <c r="A49" s="17"/>
      <c r="B49" s="38"/>
      <c r="C49" s="38"/>
      <c r="D49" s="38"/>
      <c r="E49" s="38"/>
      <c r="I49" s="50" t="s">
        <v>52</v>
      </c>
      <c r="J49" s="29" t="str">
        <f t="shared" si="5"/>
        <v>Jurassic Chickens</v>
      </c>
      <c r="K49" s="30">
        <v>8.0</v>
      </c>
    </row>
    <row r="50">
      <c r="A50" s="17"/>
      <c r="B50" s="38"/>
      <c r="C50" s="38"/>
      <c r="D50" s="38"/>
      <c r="E50" s="38"/>
      <c r="I50" s="50" t="s">
        <v>124</v>
      </c>
      <c r="J50" s="29" t="str">
        <f t="shared" si="5"/>
        <v>Jurassic Chickens</v>
      </c>
      <c r="K50" s="30">
        <v>7.0</v>
      </c>
    </row>
    <row r="51">
      <c r="A51" s="17"/>
      <c r="B51" s="38"/>
      <c r="C51" s="38"/>
      <c r="D51" s="38"/>
      <c r="E51" s="38"/>
      <c r="I51" s="50" t="s">
        <v>36</v>
      </c>
      <c r="J51" s="29" t="str">
        <f t="shared" si="5"/>
        <v>Jurassic Chickens</v>
      </c>
      <c r="K51" s="30">
        <v>7.0</v>
      </c>
    </row>
    <row r="52">
      <c r="A52" s="39"/>
      <c r="B52" s="38"/>
      <c r="C52" s="38"/>
      <c r="D52" s="38"/>
      <c r="E52" s="38"/>
      <c r="I52" s="50" t="s">
        <v>10</v>
      </c>
      <c r="J52" s="29" t="str">
        <f t="shared" si="5"/>
        <v>Jurassic Chickens</v>
      </c>
      <c r="K52" s="30">
        <v>7.0</v>
      </c>
    </row>
    <row r="53">
      <c r="A53" s="17"/>
      <c r="B53" s="38"/>
      <c r="C53" s="38"/>
      <c r="D53" s="38"/>
      <c r="E53" s="38"/>
      <c r="I53" s="50" t="s">
        <v>125</v>
      </c>
      <c r="J53" s="29" t="str">
        <f t="shared" si="5"/>
        <v>Jurassic Chickens</v>
      </c>
      <c r="K53" s="30">
        <v>6.0</v>
      </c>
    </row>
    <row r="54">
      <c r="A54" s="17"/>
      <c r="B54" s="38"/>
      <c r="C54" s="38"/>
      <c r="D54" s="38"/>
      <c r="E54" s="38"/>
      <c r="I54" s="50" t="s">
        <v>126</v>
      </c>
      <c r="J54" s="29" t="str">
        <f t="shared" si="5"/>
        <v>Jurassic Chickens</v>
      </c>
      <c r="K54" s="30">
        <v>6.0</v>
      </c>
    </row>
    <row r="55">
      <c r="A55" s="17"/>
      <c r="B55" s="38"/>
      <c r="C55" s="38"/>
      <c r="D55" s="38"/>
      <c r="E55" s="38"/>
      <c r="G55" s="29" t="s">
        <v>127</v>
      </c>
      <c r="I55" s="50" t="s">
        <v>128</v>
      </c>
      <c r="J55" s="29" t="str">
        <f t="shared" si="5"/>
        <v>Jurassic Chickens</v>
      </c>
      <c r="K55" s="30">
        <v>5.0</v>
      </c>
    </row>
    <row r="56">
      <c r="A56" s="17"/>
      <c r="B56" s="38"/>
      <c r="C56" s="38"/>
      <c r="D56" s="38"/>
      <c r="E56" s="38"/>
      <c r="I56" s="50" t="s">
        <v>129</v>
      </c>
      <c r="J56" s="29" t="str">
        <f t="shared" si="5"/>
        <v>Jurassic Chickens</v>
      </c>
      <c r="K56" s="30">
        <v>5.0</v>
      </c>
    </row>
    <row r="57">
      <c r="A57" s="17"/>
      <c r="B57" s="38"/>
      <c r="C57" s="38"/>
      <c r="D57" s="38"/>
      <c r="E57" s="38"/>
      <c r="I57" s="50" t="s">
        <v>130</v>
      </c>
      <c r="J57" s="29" t="str">
        <f t="shared" si="5"/>
        <v>Jurassic Chickens</v>
      </c>
      <c r="K57" s="30">
        <v>5.0</v>
      </c>
    </row>
    <row r="58">
      <c r="A58" s="17"/>
      <c r="B58" s="38"/>
      <c r="C58" s="38"/>
      <c r="D58" s="38"/>
      <c r="E58" s="38"/>
      <c r="I58" s="16" t="s">
        <v>131</v>
      </c>
      <c r="J58" s="29" t="str">
        <f t="shared" si="5"/>
        <v>Jurassic Chickens</v>
      </c>
      <c r="K58" s="30">
        <v>5.0</v>
      </c>
    </row>
    <row r="59">
      <c r="A59" s="17"/>
      <c r="B59" s="38"/>
      <c r="C59" s="38"/>
      <c r="D59" s="38"/>
      <c r="E59" s="38"/>
      <c r="I59" s="16" t="s">
        <v>53</v>
      </c>
      <c r="J59" s="29" t="str">
        <f t="shared" si="5"/>
        <v>Jurassic Chickens</v>
      </c>
      <c r="K59" s="29">
        <v>8.0</v>
      </c>
    </row>
    <row r="60">
      <c r="A60" s="17"/>
      <c r="B60" s="38"/>
      <c r="C60" s="38"/>
      <c r="D60" s="38"/>
      <c r="E60" s="38"/>
    </row>
    <row r="61">
      <c r="A61" s="17"/>
      <c r="B61" s="38"/>
      <c r="C61" s="38"/>
      <c r="D61" s="38"/>
      <c r="E61" s="38"/>
    </row>
    <row r="62">
      <c r="A62" s="17"/>
      <c r="B62" s="38"/>
      <c r="C62" s="38"/>
      <c r="D62" s="38"/>
      <c r="E62" s="38"/>
    </row>
    <row r="63">
      <c r="B63" s="38"/>
      <c r="C63" s="38"/>
      <c r="D63" s="38"/>
      <c r="E63" s="38"/>
    </row>
    <row r="64">
      <c r="B64" s="38"/>
      <c r="C64" s="38"/>
      <c r="D64" s="38"/>
      <c r="E64" s="38"/>
    </row>
    <row r="65">
      <c r="B65" s="38"/>
      <c r="C65" s="38"/>
      <c r="D65" s="38"/>
      <c r="E65" s="38"/>
    </row>
    <row r="66">
      <c r="B66" s="38"/>
      <c r="C66" s="38"/>
      <c r="D66" s="38"/>
      <c r="E66" s="38"/>
    </row>
    <row r="67">
      <c r="B67" s="38"/>
      <c r="C67" s="38"/>
      <c r="D67" s="38"/>
      <c r="E67" s="38"/>
      <c r="K67" s="51"/>
    </row>
    <row r="68">
      <c r="B68" s="38"/>
      <c r="C68" s="38"/>
      <c r="D68" s="38"/>
      <c r="E68" s="38"/>
      <c r="K68" s="51"/>
    </row>
    <row r="69">
      <c r="B69" s="38"/>
      <c r="C69" s="38"/>
      <c r="D69" s="38"/>
      <c r="E69" s="38"/>
      <c r="K69" s="51"/>
    </row>
    <row r="70">
      <c r="B70" s="38"/>
      <c r="C70" s="38"/>
      <c r="D70" s="38"/>
      <c r="E70" s="38"/>
      <c r="K70" s="51"/>
    </row>
    <row r="71">
      <c r="B71" s="38"/>
      <c r="C71" s="38"/>
      <c r="D71" s="38"/>
      <c r="E71" s="38"/>
      <c r="K71" s="51"/>
    </row>
    <row r="72">
      <c r="B72" s="38"/>
      <c r="C72" s="38"/>
      <c r="D72" s="38"/>
      <c r="E72" s="38"/>
      <c r="K72" s="51"/>
    </row>
    <row r="73">
      <c r="B73" s="38"/>
      <c r="C73" s="38"/>
      <c r="D73" s="38"/>
      <c r="E73" s="38"/>
      <c r="K73" s="51"/>
    </row>
    <row r="74">
      <c r="B74" s="38"/>
      <c r="C74" s="38"/>
      <c r="D74" s="38"/>
      <c r="E74" s="38"/>
      <c r="K74" s="51"/>
    </row>
    <row r="75">
      <c r="B75" s="38"/>
      <c r="C75" s="38"/>
      <c r="D75" s="38"/>
      <c r="E75" s="38"/>
      <c r="K75" s="51"/>
    </row>
    <row r="76">
      <c r="B76" s="38"/>
      <c r="C76" s="38"/>
      <c r="D76" s="38"/>
      <c r="E76" s="38"/>
      <c r="K76" s="51"/>
    </row>
    <row r="77">
      <c r="B77" s="38"/>
      <c r="C77" s="38"/>
      <c r="D77" s="38"/>
      <c r="E77" s="38"/>
      <c r="K77" s="51"/>
    </row>
    <row r="78">
      <c r="B78" s="38"/>
      <c r="C78" s="38"/>
      <c r="D78" s="38"/>
      <c r="E78" s="38"/>
      <c r="K78" s="51"/>
    </row>
    <row r="79">
      <c r="B79" s="38"/>
      <c r="C79" s="38"/>
      <c r="D79" s="38"/>
      <c r="E79" s="38"/>
      <c r="K79" s="51"/>
    </row>
    <row r="80">
      <c r="B80" s="38"/>
      <c r="C80" s="38"/>
      <c r="D80" s="38"/>
      <c r="E80" s="38"/>
      <c r="K80" s="51"/>
    </row>
    <row r="81">
      <c r="B81" s="38"/>
      <c r="C81" s="38"/>
      <c r="D81" s="38"/>
      <c r="E81" s="38"/>
      <c r="K81" s="51"/>
    </row>
    <row r="82">
      <c r="B82" s="38"/>
      <c r="C82" s="38"/>
      <c r="D82" s="38"/>
      <c r="E82" s="38"/>
      <c r="K82" s="51"/>
    </row>
    <row r="83">
      <c r="B83" s="38"/>
      <c r="C83" s="38"/>
      <c r="D83" s="38"/>
      <c r="E83" s="38"/>
      <c r="K83" s="51"/>
    </row>
    <row r="84">
      <c r="B84" s="38"/>
      <c r="C84" s="38"/>
      <c r="D84" s="38"/>
      <c r="E84" s="38"/>
      <c r="K84" s="51"/>
    </row>
    <row r="85">
      <c r="B85" s="38"/>
      <c r="C85" s="38"/>
      <c r="D85" s="38"/>
      <c r="E85" s="38"/>
      <c r="K85" s="51"/>
    </row>
    <row r="86">
      <c r="B86" s="38"/>
      <c r="C86" s="38"/>
      <c r="D86" s="38"/>
      <c r="E86" s="38"/>
      <c r="K86" s="51"/>
    </row>
    <row r="87">
      <c r="B87" s="38"/>
      <c r="C87" s="38"/>
      <c r="D87" s="38"/>
      <c r="E87" s="38"/>
      <c r="K87" s="51"/>
    </row>
    <row r="88">
      <c r="B88" s="38"/>
      <c r="C88" s="38"/>
      <c r="D88" s="38"/>
      <c r="E88" s="38"/>
      <c r="K88" s="51"/>
    </row>
    <row r="89">
      <c r="B89" s="38"/>
      <c r="C89" s="38"/>
      <c r="D89" s="38"/>
      <c r="E89" s="38"/>
      <c r="K89" s="51"/>
    </row>
    <row r="90">
      <c r="B90" s="38"/>
      <c r="C90" s="38"/>
      <c r="D90" s="38"/>
      <c r="E90" s="38"/>
      <c r="K90" s="51"/>
    </row>
    <row r="91">
      <c r="B91" s="38"/>
      <c r="C91" s="38"/>
      <c r="D91" s="38"/>
      <c r="E91" s="38"/>
      <c r="K91" s="51"/>
    </row>
    <row r="92">
      <c r="B92" s="38"/>
      <c r="C92" s="38"/>
      <c r="D92" s="38"/>
      <c r="E92" s="38"/>
      <c r="K92" s="51"/>
    </row>
    <row r="93">
      <c r="B93" s="38"/>
      <c r="C93" s="38"/>
      <c r="D93" s="38"/>
      <c r="E93" s="38"/>
      <c r="K93" s="51"/>
    </row>
    <row r="94">
      <c r="B94" s="38"/>
      <c r="C94" s="38"/>
      <c r="D94" s="38"/>
      <c r="E94" s="38"/>
      <c r="K94" s="51"/>
    </row>
    <row r="95">
      <c r="B95" s="38"/>
      <c r="C95" s="38"/>
      <c r="D95" s="38"/>
      <c r="E95" s="38"/>
      <c r="K95" s="51"/>
    </row>
    <row r="96">
      <c r="B96" s="38"/>
      <c r="C96" s="38"/>
      <c r="D96" s="38"/>
      <c r="E96" s="38"/>
      <c r="K96" s="51"/>
    </row>
    <row r="97">
      <c r="B97" s="38"/>
      <c r="C97" s="38"/>
      <c r="D97" s="38"/>
      <c r="E97" s="38"/>
      <c r="K97" s="51"/>
    </row>
    <row r="98">
      <c r="B98" s="38"/>
      <c r="C98" s="38"/>
      <c r="D98" s="38"/>
      <c r="E98" s="38"/>
      <c r="K98" s="51"/>
    </row>
    <row r="99">
      <c r="B99" s="38"/>
      <c r="C99" s="38"/>
      <c r="D99" s="38"/>
      <c r="E99" s="38"/>
      <c r="K99" s="51"/>
    </row>
    <row r="100">
      <c r="B100" s="38"/>
      <c r="C100" s="38"/>
      <c r="D100" s="38"/>
      <c r="E100" s="38"/>
      <c r="K100" s="51"/>
    </row>
    <row r="101">
      <c r="B101" s="38"/>
      <c r="C101" s="38"/>
      <c r="D101" s="38"/>
      <c r="E101" s="38"/>
      <c r="K101" s="51"/>
    </row>
    <row r="102">
      <c r="B102" s="38"/>
      <c r="C102" s="38"/>
      <c r="D102" s="38"/>
      <c r="E102" s="38"/>
      <c r="K102" s="51"/>
    </row>
    <row r="103">
      <c r="B103" s="38"/>
      <c r="C103" s="38"/>
      <c r="D103" s="38"/>
      <c r="E103" s="38"/>
      <c r="K103" s="51"/>
    </row>
    <row r="104">
      <c r="B104" s="38"/>
      <c r="C104" s="38"/>
      <c r="D104" s="38"/>
      <c r="E104" s="38"/>
      <c r="K104" s="51"/>
    </row>
    <row r="105">
      <c r="B105" s="38"/>
      <c r="C105" s="38"/>
      <c r="D105" s="38"/>
      <c r="E105" s="38"/>
      <c r="K105" s="51"/>
    </row>
    <row r="106">
      <c r="B106" s="38"/>
      <c r="C106" s="38"/>
      <c r="D106" s="38"/>
      <c r="E106" s="38"/>
      <c r="K106" s="51"/>
    </row>
    <row r="107">
      <c r="B107" s="38"/>
      <c r="C107" s="38"/>
      <c r="D107" s="38"/>
      <c r="E107" s="38"/>
      <c r="K107" s="51"/>
    </row>
    <row r="108">
      <c r="B108" s="38"/>
      <c r="C108" s="38"/>
      <c r="D108" s="38"/>
      <c r="E108" s="38"/>
      <c r="K108" s="51"/>
    </row>
    <row r="109">
      <c r="B109" s="38"/>
      <c r="C109" s="38"/>
      <c r="D109" s="38"/>
      <c r="E109" s="38"/>
      <c r="K109" s="51"/>
    </row>
    <row r="110">
      <c r="B110" s="38"/>
      <c r="C110" s="38"/>
      <c r="D110" s="38"/>
      <c r="E110" s="38"/>
      <c r="K110" s="51"/>
    </row>
    <row r="111">
      <c r="B111" s="38"/>
      <c r="C111" s="38"/>
      <c r="D111" s="38"/>
      <c r="E111" s="38"/>
      <c r="K111" s="51"/>
    </row>
    <row r="112">
      <c r="B112" s="38"/>
      <c r="C112" s="38"/>
      <c r="D112" s="38"/>
      <c r="E112" s="38"/>
      <c r="K112" s="51"/>
    </row>
    <row r="113">
      <c r="B113" s="38"/>
      <c r="C113" s="38"/>
      <c r="D113" s="38"/>
      <c r="E113" s="38"/>
      <c r="K113" s="51"/>
    </row>
    <row r="114">
      <c r="B114" s="38"/>
      <c r="C114" s="38"/>
      <c r="D114" s="38"/>
      <c r="E114" s="38"/>
      <c r="K114" s="51"/>
    </row>
    <row r="115">
      <c r="B115" s="38"/>
      <c r="C115" s="38"/>
      <c r="D115" s="38"/>
      <c r="E115" s="38"/>
      <c r="K115" s="51"/>
    </row>
    <row r="116">
      <c r="B116" s="38"/>
      <c r="C116" s="38"/>
      <c r="D116" s="38"/>
      <c r="E116" s="38"/>
      <c r="K116" s="51"/>
    </row>
    <row r="117">
      <c r="B117" s="38"/>
      <c r="C117" s="38"/>
      <c r="D117" s="38"/>
      <c r="E117" s="38"/>
      <c r="K117" s="51"/>
    </row>
    <row r="118">
      <c r="B118" s="38"/>
      <c r="C118" s="38"/>
      <c r="D118" s="38"/>
      <c r="E118" s="38"/>
      <c r="K118" s="51"/>
    </row>
    <row r="119">
      <c r="B119" s="38"/>
      <c r="C119" s="38"/>
      <c r="D119" s="38"/>
      <c r="E119" s="38"/>
      <c r="K119" s="51"/>
    </row>
    <row r="120">
      <c r="B120" s="38"/>
      <c r="C120" s="38"/>
      <c r="D120" s="38"/>
      <c r="E120" s="38"/>
      <c r="K120" s="51"/>
    </row>
    <row r="121">
      <c r="B121" s="38"/>
      <c r="C121" s="38"/>
      <c r="D121" s="38"/>
      <c r="E121" s="38"/>
      <c r="K121" s="51"/>
    </row>
    <row r="122">
      <c r="B122" s="38"/>
      <c r="C122" s="38"/>
      <c r="D122" s="38"/>
      <c r="E122" s="38"/>
      <c r="K122" s="51"/>
    </row>
    <row r="123">
      <c r="B123" s="38"/>
      <c r="C123" s="38"/>
      <c r="D123" s="38"/>
      <c r="E123" s="38"/>
      <c r="K123" s="51"/>
    </row>
    <row r="124">
      <c r="B124" s="38"/>
      <c r="C124" s="38"/>
      <c r="D124" s="38"/>
      <c r="E124" s="38"/>
      <c r="K124" s="51"/>
    </row>
    <row r="125">
      <c r="B125" s="38"/>
      <c r="C125" s="38"/>
      <c r="D125" s="38"/>
      <c r="E125" s="38"/>
      <c r="K125" s="51"/>
    </row>
    <row r="126">
      <c r="B126" s="38"/>
      <c r="C126" s="38"/>
      <c r="D126" s="38"/>
      <c r="E126" s="38"/>
      <c r="K126" s="51"/>
    </row>
    <row r="127">
      <c r="B127" s="38"/>
      <c r="C127" s="38"/>
      <c r="D127" s="38"/>
      <c r="E127" s="38"/>
      <c r="K127" s="51"/>
    </row>
    <row r="128">
      <c r="B128" s="38"/>
      <c r="C128" s="38"/>
      <c r="D128" s="38"/>
      <c r="E128" s="38"/>
      <c r="K128" s="51"/>
    </row>
    <row r="129">
      <c r="B129" s="38"/>
      <c r="C129" s="38"/>
      <c r="D129" s="38"/>
      <c r="E129" s="38"/>
      <c r="K129" s="51"/>
    </row>
    <row r="130">
      <c r="B130" s="38"/>
      <c r="C130" s="38"/>
      <c r="D130" s="38"/>
      <c r="E130" s="38"/>
      <c r="K130" s="51"/>
    </row>
    <row r="131">
      <c r="B131" s="38"/>
      <c r="C131" s="38"/>
      <c r="D131" s="38"/>
      <c r="E131" s="38"/>
      <c r="K131" s="51"/>
    </row>
    <row r="132">
      <c r="B132" s="38"/>
      <c r="C132" s="38"/>
      <c r="D132" s="38"/>
      <c r="E132" s="38"/>
      <c r="K132" s="51"/>
    </row>
    <row r="133">
      <c r="B133" s="38"/>
      <c r="C133" s="38"/>
      <c r="D133" s="38"/>
      <c r="E133" s="38"/>
      <c r="K133" s="51"/>
    </row>
    <row r="134">
      <c r="B134" s="38"/>
      <c r="C134" s="38"/>
      <c r="D134" s="38"/>
      <c r="E134" s="38"/>
      <c r="K134" s="51"/>
    </row>
    <row r="135">
      <c r="B135" s="38"/>
      <c r="C135" s="38"/>
      <c r="D135" s="38"/>
      <c r="E135" s="38"/>
      <c r="K135" s="51"/>
    </row>
    <row r="136">
      <c r="B136" s="38"/>
      <c r="C136" s="38"/>
      <c r="D136" s="38"/>
      <c r="E136" s="38"/>
      <c r="K136" s="51"/>
    </row>
    <row r="137">
      <c r="B137" s="38"/>
      <c r="C137" s="38"/>
      <c r="D137" s="38"/>
      <c r="E137" s="38"/>
      <c r="K137" s="51"/>
    </row>
    <row r="138">
      <c r="B138" s="38"/>
      <c r="C138" s="38"/>
      <c r="D138" s="38"/>
      <c r="E138" s="38"/>
      <c r="K138" s="51"/>
    </row>
    <row r="139">
      <c r="B139" s="38"/>
      <c r="C139" s="38"/>
      <c r="D139" s="38"/>
      <c r="E139" s="38"/>
      <c r="K139" s="51"/>
    </row>
    <row r="140">
      <c r="B140" s="38"/>
      <c r="C140" s="38"/>
      <c r="D140" s="38"/>
      <c r="E140" s="38"/>
      <c r="K140" s="51"/>
    </row>
    <row r="141">
      <c r="B141" s="38"/>
      <c r="C141" s="38"/>
      <c r="D141" s="38"/>
      <c r="E141" s="38"/>
      <c r="K141" s="51"/>
    </row>
    <row r="142">
      <c r="B142" s="38"/>
      <c r="C142" s="38"/>
      <c r="D142" s="38"/>
      <c r="E142" s="38"/>
      <c r="K142" s="51"/>
    </row>
    <row r="143">
      <c r="B143" s="38"/>
      <c r="C143" s="38"/>
      <c r="D143" s="38"/>
      <c r="E143" s="38"/>
      <c r="K143" s="51"/>
    </row>
    <row r="144">
      <c r="B144" s="38"/>
      <c r="C144" s="38"/>
      <c r="D144" s="38"/>
      <c r="E144" s="38"/>
      <c r="K144" s="51"/>
    </row>
    <row r="145">
      <c r="B145" s="38"/>
      <c r="C145" s="38"/>
      <c r="D145" s="38"/>
      <c r="E145" s="38"/>
      <c r="K145" s="51"/>
    </row>
    <row r="146">
      <c r="B146" s="38"/>
      <c r="C146" s="38"/>
      <c r="D146" s="38"/>
      <c r="E146" s="38"/>
      <c r="K146" s="51"/>
    </row>
    <row r="147">
      <c r="B147" s="38"/>
      <c r="C147" s="38"/>
      <c r="D147" s="38"/>
      <c r="E147" s="38"/>
      <c r="K147" s="51"/>
    </row>
    <row r="148">
      <c r="B148" s="38"/>
      <c r="C148" s="38"/>
      <c r="D148" s="38"/>
      <c r="E148" s="38"/>
      <c r="K148" s="51"/>
    </row>
    <row r="149">
      <c r="B149" s="38"/>
      <c r="C149" s="38"/>
      <c r="D149" s="38"/>
      <c r="E149" s="38"/>
      <c r="K149" s="51"/>
    </row>
    <row r="150">
      <c r="B150" s="38"/>
      <c r="C150" s="38"/>
      <c r="D150" s="38"/>
      <c r="E150" s="38"/>
      <c r="K150" s="51"/>
    </row>
    <row r="151">
      <c r="B151" s="38"/>
      <c r="C151" s="38"/>
      <c r="D151" s="38"/>
      <c r="E151" s="38"/>
      <c r="K151" s="51"/>
    </row>
    <row r="152">
      <c r="B152" s="38"/>
      <c r="C152" s="38"/>
      <c r="D152" s="38"/>
      <c r="E152" s="38"/>
      <c r="K152" s="51"/>
    </row>
    <row r="153">
      <c r="B153" s="38"/>
      <c r="C153" s="38"/>
      <c r="D153" s="38"/>
      <c r="E153" s="38"/>
      <c r="K153" s="51"/>
    </row>
    <row r="154">
      <c r="B154" s="38"/>
      <c r="C154" s="38"/>
      <c r="D154" s="38"/>
      <c r="E154" s="38"/>
      <c r="K154" s="51"/>
    </row>
    <row r="155">
      <c r="B155" s="38"/>
      <c r="C155" s="38"/>
      <c r="D155" s="38"/>
      <c r="E155" s="38"/>
      <c r="K155" s="51"/>
    </row>
    <row r="156">
      <c r="B156" s="38"/>
      <c r="C156" s="38"/>
      <c r="D156" s="38"/>
      <c r="E156" s="38"/>
      <c r="K156" s="51"/>
    </row>
    <row r="157">
      <c r="B157" s="38"/>
      <c r="C157" s="38"/>
      <c r="D157" s="38"/>
      <c r="E157" s="38"/>
      <c r="K157" s="51"/>
    </row>
    <row r="158">
      <c r="B158" s="38"/>
      <c r="C158" s="38"/>
      <c r="D158" s="38"/>
      <c r="E158" s="38"/>
      <c r="K158" s="51"/>
    </row>
    <row r="159">
      <c r="B159" s="38"/>
      <c r="C159" s="38"/>
      <c r="D159" s="38"/>
      <c r="E159" s="38"/>
      <c r="K159" s="51"/>
    </row>
    <row r="160">
      <c r="B160" s="38"/>
      <c r="C160" s="38"/>
      <c r="D160" s="38"/>
      <c r="E160" s="38"/>
      <c r="K160" s="51"/>
    </row>
    <row r="161">
      <c r="B161" s="38"/>
      <c r="C161" s="38"/>
      <c r="D161" s="38"/>
      <c r="E161" s="38"/>
      <c r="K161" s="51"/>
    </row>
    <row r="162">
      <c r="B162" s="38"/>
      <c r="C162" s="38"/>
      <c r="D162" s="38"/>
      <c r="E162" s="38"/>
      <c r="K162" s="51"/>
    </row>
    <row r="163">
      <c r="B163" s="38"/>
      <c r="C163" s="38"/>
      <c r="D163" s="38"/>
      <c r="E163" s="38"/>
      <c r="K163" s="51"/>
    </row>
    <row r="164">
      <c r="B164" s="38"/>
      <c r="C164" s="38"/>
      <c r="D164" s="38"/>
      <c r="E164" s="38"/>
      <c r="K164" s="51"/>
    </row>
    <row r="165">
      <c r="B165" s="38"/>
      <c r="C165" s="38"/>
      <c r="D165" s="38"/>
      <c r="E165" s="38"/>
      <c r="K165" s="51"/>
    </row>
    <row r="166">
      <c r="B166" s="38"/>
      <c r="C166" s="38"/>
      <c r="D166" s="38"/>
      <c r="E166" s="38"/>
      <c r="K166" s="51"/>
    </row>
    <row r="167">
      <c r="B167" s="38"/>
      <c r="C167" s="38"/>
      <c r="D167" s="38"/>
      <c r="E167" s="38"/>
      <c r="K167" s="51"/>
    </row>
    <row r="168">
      <c r="B168" s="38"/>
      <c r="C168" s="38"/>
      <c r="D168" s="38"/>
      <c r="E168" s="38"/>
      <c r="K168" s="51"/>
    </row>
    <row r="169">
      <c r="B169" s="38"/>
      <c r="C169" s="38"/>
      <c r="D169" s="38"/>
      <c r="E169" s="38"/>
      <c r="K169" s="51"/>
    </row>
    <row r="170">
      <c r="B170" s="38"/>
      <c r="C170" s="38"/>
      <c r="D170" s="38"/>
      <c r="E170" s="38"/>
      <c r="K170" s="51"/>
    </row>
    <row r="171">
      <c r="B171" s="38"/>
      <c r="C171" s="38"/>
      <c r="D171" s="38"/>
      <c r="E171" s="38"/>
      <c r="K171" s="51"/>
    </row>
    <row r="172">
      <c r="B172" s="38"/>
      <c r="C172" s="38"/>
      <c r="D172" s="38"/>
      <c r="E172" s="38"/>
      <c r="K172" s="51"/>
    </row>
    <row r="173">
      <c r="B173" s="38"/>
      <c r="C173" s="38"/>
      <c r="D173" s="38"/>
      <c r="E173" s="38"/>
      <c r="K173" s="51"/>
    </row>
    <row r="174">
      <c r="B174" s="38"/>
      <c r="C174" s="38"/>
      <c r="D174" s="38"/>
      <c r="E174" s="38"/>
      <c r="K174" s="51"/>
    </row>
    <row r="175">
      <c r="B175" s="38"/>
      <c r="C175" s="38"/>
      <c r="D175" s="38"/>
      <c r="E175" s="38"/>
      <c r="K175" s="51"/>
    </row>
    <row r="176">
      <c r="B176" s="38"/>
      <c r="C176" s="38"/>
      <c r="D176" s="38"/>
      <c r="E176" s="38"/>
      <c r="K176" s="51"/>
    </row>
    <row r="177">
      <c r="B177" s="38"/>
      <c r="C177" s="38"/>
      <c r="D177" s="38"/>
      <c r="E177" s="38"/>
      <c r="K177" s="51"/>
    </row>
    <row r="178">
      <c r="B178" s="38"/>
      <c r="C178" s="38"/>
      <c r="D178" s="38"/>
      <c r="E178" s="38"/>
      <c r="K178" s="51"/>
    </row>
    <row r="179">
      <c r="B179" s="38"/>
      <c r="C179" s="38"/>
      <c r="D179" s="38"/>
      <c r="E179" s="38"/>
      <c r="K179" s="51"/>
    </row>
    <row r="180">
      <c r="B180" s="38"/>
      <c r="C180" s="38"/>
      <c r="D180" s="38"/>
      <c r="E180" s="38"/>
      <c r="K180" s="51"/>
    </row>
    <row r="181">
      <c r="B181" s="38"/>
      <c r="C181" s="38"/>
      <c r="D181" s="38"/>
      <c r="E181" s="38"/>
      <c r="K181" s="51"/>
    </row>
    <row r="182">
      <c r="B182" s="38"/>
      <c r="C182" s="38"/>
      <c r="D182" s="38"/>
      <c r="E182" s="38"/>
      <c r="K182" s="51"/>
    </row>
    <row r="183">
      <c r="B183" s="38"/>
      <c r="C183" s="38"/>
      <c r="D183" s="38"/>
      <c r="E183" s="38"/>
      <c r="K183" s="51"/>
    </row>
    <row r="184">
      <c r="B184" s="38"/>
      <c r="C184" s="38"/>
      <c r="D184" s="38"/>
      <c r="E184" s="38"/>
      <c r="K184" s="51"/>
    </row>
    <row r="185">
      <c r="B185" s="38"/>
      <c r="C185" s="38"/>
      <c r="D185" s="38"/>
      <c r="E185" s="38"/>
      <c r="K185" s="51"/>
    </row>
    <row r="186">
      <c r="B186" s="38"/>
      <c r="C186" s="38"/>
      <c r="D186" s="38"/>
      <c r="E186" s="38"/>
      <c r="K186" s="51"/>
    </row>
    <row r="187">
      <c r="B187" s="38"/>
      <c r="C187" s="38"/>
      <c r="D187" s="38"/>
      <c r="E187" s="38"/>
      <c r="K187" s="51"/>
    </row>
    <row r="188">
      <c r="B188" s="38"/>
      <c r="C188" s="38"/>
      <c r="D188" s="38"/>
      <c r="E188" s="38"/>
      <c r="K188" s="51"/>
    </row>
    <row r="189">
      <c r="B189" s="38"/>
      <c r="C189" s="38"/>
      <c r="D189" s="38"/>
      <c r="E189" s="38"/>
      <c r="K189" s="51"/>
    </row>
    <row r="190">
      <c r="B190" s="38"/>
      <c r="C190" s="38"/>
      <c r="D190" s="38"/>
      <c r="E190" s="38"/>
      <c r="K190" s="51"/>
    </row>
    <row r="191">
      <c r="B191" s="38"/>
      <c r="C191" s="38"/>
      <c r="D191" s="38"/>
      <c r="E191" s="38"/>
      <c r="K191" s="51"/>
    </row>
    <row r="192">
      <c r="B192" s="38"/>
      <c r="C192" s="38"/>
      <c r="D192" s="38"/>
      <c r="E192" s="38"/>
      <c r="K192" s="51"/>
    </row>
    <row r="193">
      <c r="B193" s="38"/>
      <c r="C193" s="38"/>
      <c r="D193" s="38"/>
      <c r="E193" s="38"/>
      <c r="K193" s="51"/>
    </row>
    <row r="194">
      <c r="B194" s="38"/>
      <c r="C194" s="38"/>
      <c r="D194" s="38"/>
      <c r="E194" s="38"/>
      <c r="K194" s="51"/>
    </row>
    <row r="195">
      <c r="B195" s="38"/>
      <c r="C195" s="38"/>
      <c r="D195" s="38"/>
      <c r="E195" s="38"/>
      <c r="K195" s="51"/>
    </row>
    <row r="196">
      <c r="B196" s="38"/>
      <c r="C196" s="38"/>
      <c r="D196" s="38"/>
      <c r="E196" s="38"/>
      <c r="K196" s="51"/>
    </row>
    <row r="197">
      <c r="B197" s="38"/>
      <c r="C197" s="38"/>
      <c r="D197" s="38"/>
      <c r="E197" s="38"/>
      <c r="K197" s="51"/>
    </row>
    <row r="198">
      <c r="B198" s="38"/>
      <c r="C198" s="38"/>
      <c r="D198" s="38"/>
      <c r="E198" s="38"/>
      <c r="K198" s="51"/>
    </row>
    <row r="199">
      <c r="B199" s="38"/>
      <c r="C199" s="38"/>
      <c r="D199" s="38"/>
      <c r="E199" s="38"/>
      <c r="K199" s="51"/>
    </row>
    <row r="200">
      <c r="B200" s="38"/>
      <c r="C200" s="38"/>
      <c r="D200" s="38"/>
      <c r="E200" s="38"/>
      <c r="K200" s="51"/>
    </row>
    <row r="201">
      <c r="B201" s="38"/>
      <c r="C201" s="38"/>
      <c r="D201" s="38"/>
      <c r="E201" s="38"/>
      <c r="K201" s="51"/>
    </row>
    <row r="202">
      <c r="B202" s="38"/>
      <c r="C202" s="38"/>
      <c r="D202" s="38"/>
      <c r="E202" s="38"/>
      <c r="K202" s="51"/>
    </row>
    <row r="203">
      <c r="B203" s="38"/>
      <c r="C203" s="38"/>
      <c r="D203" s="38"/>
      <c r="E203" s="38"/>
      <c r="K203" s="51"/>
    </row>
    <row r="204">
      <c r="B204" s="38"/>
      <c r="C204" s="38"/>
      <c r="D204" s="38"/>
      <c r="E204" s="38"/>
      <c r="K204" s="51"/>
    </row>
    <row r="205">
      <c r="B205" s="38"/>
      <c r="C205" s="38"/>
      <c r="D205" s="38"/>
      <c r="E205" s="38"/>
      <c r="K205" s="51"/>
    </row>
    <row r="206">
      <c r="B206" s="38"/>
      <c r="C206" s="38"/>
      <c r="D206" s="38"/>
      <c r="E206" s="38"/>
      <c r="K206" s="51"/>
    </row>
    <row r="207">
      <c r="B207" s="38"/>
      <c r="C207" s="38"/>
      <c r="D207" s="38"/>
      <c r="E207" s="38"/>
      <c r="K207" s="51"/>
    </row>
    <row r="208">
      <c r="B208" s="38"/>
      <c r="C208" s="38"/>
      <c r="D208" s="38"/>
      <c r="E208" s="38"/>
      <c r="K208" s="51"/>
    </row>
    <row r="209">
      <c r="B209" s="38"/>
      <c r="C209" s="38"/>
      <c r="D209" s="38"/>
      <c r="E209" s="38"/>
      <c r="K209" s="51"/>
    </row>
    <row r="210">
      <c r="B210" s="38"/>
      <c r="C210" s="38"/>
      <c r="D210" s="38"/>
      <c r="E210" s="38"/>
      <c r="K210" s="51"/>
    </row>
    <row r="211">
      <c r="B211" s="38"/>
      <c r="C211" s="38"/>
      <c r="D211" s="38"/>
      <c r="E211" s="38"/>
      <c r="K211" s="51"/>
    </row>
    <row r="212">
      <c r="B212" s="38"/>
      <c r="C212" s="38"/>
      <c r="D212" s="38"/>
      <c r="E212" s="38"/>
      <c r="K212" s="51"/>
    </row>
    <row r="213">
      <c r="B213" s="38"/>
      <c r="C213" s="38"/>
      <c r="D213" s="38"/>
      <c r="E213" s="38"/>
      <c r="K213" s="51"/>
    </row>
    <row r="214">
      <c r="B214" s="38"/>
      <c r="C214" s="38"/>
      <c r="D214" s="38"/>
      <c r="E214" s="38"/>
      <c r="K214" s="51"/>
    </row>
    <row r="215">
      <c r="B215" s="38"/>
      <c r="C215" s="38"/>
      <c r="D215" s="38"/>
      <c r="E215" s="38"/>
      <c r="K215" s="51"/>
    </row>
    <row r="216">
      <c r="B216" s="38"/>
      <c r="C216" s="38"/>
      <c r="D216" s="38"/>
      <c r="E216" s="38"/>
      <c r="K216" s="51"/>
    </row>
    <row r="217">
      <c r="B217" s="38"/>
      <c r="C217" s="38"/>
      <c r="D217" s="38"/>
      <c r="E217" s="38"/>
      <c r="K217" s="51"/>
    </row>
    <row r="218">
      <c r="B218" s="38"/>
      <c r="C218" s="38"/>
      <c r="D218" s="38"/>
      <c r="E218" s="38"/>
      <c r="K218" s="51"/>
    </row>
    <row r="219">
      <c r="B219" s="38"/>
      <c r="C219" s="38"/>
      <c r="D219" s="38"/>
      <c r="E219" s="38"/>
      <c r="K219" s="51"/>
    </row>
    <row r="220">
      <c r="B220" s="38"/>
      <c r="C220" s="38"/>
      <c r="D220" s="38"/>
      <c r="E220" s="38"/>
      <c r="K220" s="51"/>
    </row>
    <row r="221">
      <c r="B221" s="38"/>
      <c r="C221" s="38"/>
      <c r="D221" s="38"/>
      <c r="E221" s="38"/>
      <c r="K221" s="51"/>
    </row>
    <row r="222">
      <c r="B222" s="38"/>
      <c r="C222" s="38"/>
      <c r="D222" s="38"/>
      <c r="E222" s="38"/>
      <c r="K222" s="51"/>
    </row>
    <row r="223">
      <c r="B223" s="38"/>
      <c r="C223" s="38"/>
      <c r="D223" s="38"/>
      <c r="E223" s="38"/>
      <c r="K223" s="51"/>
    </row>
    <row r="224">
      <c r="B224" s="38"/>
      <c r="C224" s="38"/>
      <c r="D224" s="38"/>
      <c r="E224" s="38"/>
      <c r="K224" s="51"/>
    </row>
    <row r="225">
      <c r="B225" s="38"/>
      <c r="C225" s="38"/>
      <c r="D225" s="38"/>
      <c r="E225" s="38"/>
      <c r="K225" s="51"/>
    </row>
    <row r="226">
      <c r="B226" s="38"/>
      <c r="C226" s="38"/>
      <c r="D226" s="38"/>
      <c r="E226" s="38"/>
      <c r="K226" s="51"/>
    </row>
    <row r="227">
      <c r="B227" s="38"/>
      <c r="C227" s="38"/>
      <c r="D227" s="38"/>
      <c r="E227" s="38"/>
      <c r="K227" s="51"/>
    </row>
    <row r="228">
      <c r="B228" s="38"/>
      <c r="C228" s="38"/>
      <c r="D228" s="38"/>
      <c r="E228" s="38"/>
      <c r="K228" s="51"/>
    </row>
    <row r="229">
      <c r="B229" s="38"/>
      <c r="C229" s="38"/>
      <c r="D229" s="38"/>
      <c r="E229" s="38"/>
      <c r="K229" s="51"/>
    </row>
    <row r="230">
      <c r="B230" s="38"/>
      <c r="C230" s="38"/>
      <c r="D230" s="38"/>
      <c r="E230" s="38"/>
      <c r="K230" s="51"/>
    </row>
    <row r="231">
      <c r="B231" s="38"/>
      <c r="C231" s="38"/>
      <c r="D231" s="38"/>
      <c r="E231" s="38"/>
      <c r="K231" s="51"/>
    </row>
    <row r="232">
      <c r="B232" s="38"/>
      <c r="C232" s="38"/>
      <c r="D232" s="38"/>
      <c r="E232" s="38"/>
      <c r="K232" s="51"/>
    </row>
    <row r="233">
      <c r="B233" s="38"/>
      <c r="C233" s="38"/>
      <c r="D233" s="38"/>
      <c r="E233" s="38"/>
      <c r="K233" s="51"/>
    </row>
    <row r="234">
      <c r="B234" s="38"/>
      <c r="C234" s="38"/>
      <c r="D234" s="38"/>
      <c r="E234" s="38"/>
      <c r="K234" s="51"/>
    </row>
    <row r="235">
      <c r="B235" s="38"/>
      <c r="C235" s="38"/>
      <c r="D235" s="38"/>
      <c r="E235" s="38"/>
      <c r="K235" s="51"/>
    </row>
    <row r="236">
      <c r="B236" s="38"/>
      <c r="C236" s="38"/>
      <c r="D236" s="38"/>
      <c r="E236" s="38"/>
      <c r="K236" s="51"/>
    </row>
    <row r="237">
      <c r="B237" s="38"/>
      <c r="C237" s="38"/>
      <c r="D237" s="38"/>
      <c r="E237" s="38"/>
      <c r="K237" s="51"/>
    </row>
    <row r="238">
      <c r="B238" s="38"/>
      <c r="C238" s="38"/>
      <c r="D238" s="38"/>
      <c r="E238" s="38"/>
      <c r="K238" s="51"/>
    </row>
    <row r="239">
      <c r="B239" s="38"/>
      <c r="C239" s="38"/>
      <c r="D239" s="38"/>
      <c r="E239" s="38"/>
      <c r="K239" s="51"/>
    </row>
    <row r="240">
      <c r="B240" s="38"/>
      <c r="C240" s="38"/>
      <c r="D240" s="38"/>
      <c r="E240" s="38"/>
      <c r="K240" s="51"/>
    </row>
    <row r="241">
      <c r="B241" s="38"/>
      <c r="C241" s="38"/>
      <c r="D241" s="38"/>
      <c r="E241" s="38"/>
      <c r="K241" s="51"/>
    </row>
    <row r="242">
      <c r="B242" s="38"/>
      <c r="C242" s="38"/>
      <c r="D242" s="38"/>
      <c r="E242" s="38"/>
      <c r="K242" s="51"/>
    </row>
    <row r="243">
      <c r="B243" s="38"/>
      <c r="C243" s="38"/>
      <c r="D243" s="38"/>
      <c r="E243" s="38"/>
      <c r="K243" s="51"/>
    </row>
    <row r="244">
      <c r="B244" s="38"/>
      <c r="C244" s="38"/>
      <c r="D244" s="38"/>
      <c r="E244" s="38"/>
      <c r="K244" s="51"/>
    </row>
    <row r="245">
      <c r="B245" s="38"/>
      <c r="C245" s="38"/>
      <c r="D245" s="38"/>
      <c r="E245" s="38"/>
      <c r="K245" s="51"/>
    </row>
    <row r="246">
      <c r="B246" s="38"/>
      <c r="C246" s="38"/>
      <c r="D246" s="38"/>
      <c r="E246" s="38"/>
      <c r="K246" s="51"/>
    </row>
    <row r="247">
      <c r="B247" s="38"/>
      <c r="C247" s="38"/>
      <c r="D247" s="38"/>
      <c r="E247" s="38"/>
      <c r="K247" s="51"/>
    </row>
    <row r="248">
      <c r="B248" s="38"/>
      <c r="C248" s="38"/>
      <c r="D248" s="38"/>
      <c r="E248" s="38"/>
      <c r="K248" s="51"/>
    </row>
    <row r="249">
      <c r="B249" s="38"/>
      <c r="C249" s="38"/>
      <c r="D249" s="38"/>
      <c r="E249" s="38"/>
      <c r="K249" s="51"/>
    </row>
    <row r="250">
      <c r="B250" s="38"/>
      <c r="C250" s="38"/>
      <c r="D250" s="38"/>
      <c r="E250" s="38"/>
      <c r="K250" s="51"/>
    </row>
    <row r="251">
      <c r="B251" s="38"/>
      <c r="C251" s="38"/>
      <c r="D251" s="38"/>
      <c r="E251" s="38"/>
      <c r="K251" s="51"/>
    </row>
    <row r="252">
      <c r="B252" s="38"/>
      <c r="C252" s="38"/>
      <c r="D252" s="38"/>
      <c r="E252" s="38"/>
      <c r="K252" s="51"/>
    </row>
    <row r="253">
      <c r="B253" s="38"/>
      <c r="C253" s="38"/>
      <c r="D253" s="38"/>
      <c r="E253" s="38"/>
      <c r="K253" s="51"/>
    </row>
    <row r="254">
      <c r="B254" s="38"/>
      <c r="C254" s="38"/>
      <c r="D254" s="38"/>
      <c r="E254" s="38"/>
      <c r="K254" s="51"/>
    </row>
    <row r="255">
      <c r="B255" s="38"/>
      <c r="C255" s="38"/>
      <c r="D255" s="38"/>
      <c r="E255" s="38"/>
      <c r="K255" s="51"/>
    </row>
    <row r="256">
      <c r="B256" s="38"/>
      <c r="C256" s="38"/>
      <c r="D256" s="38"/>
      <c r="E256" s="38"/>
      <c r="K256" s="51"/>
    </row>
    <row r="257">
      <c r="B257" s="38"/>
      <c r="C257" s="38"/>
      <c r="D257" s="38"/>
      <c r="E257" s="38"/>
      <c r="K257" s="51"/>
    </row>
    <row r="258">
      <c r="B258" s="38"/>
      <c r="C258" s="38"/>
      <c r="D258" s="38"/>
      <c r="E258" s="38"/>
      <c r="K258" s="51"/>
    </row>
    <row r="259">
      <c r="B259" s="38"/>
      <c r="C259" s="38"/>
      <c r="D259" s="38"/>
      <c r="E259" s="38"/>
      <c r="K259" s="51"/>
    </row>
    <row r="260">
      <c r="B260" s="38"/>
      <c r="C260" s="38"/>
      <c r="D260" s="38"/>
      <c r="E260" s="38"/>
      <c r="K260" s="51"/>
    </row>
    <row r="261">
      <c r="B261" s="38"/>
      <c r="C261" s="38"/>
      <c r="D261" s="38"/>
      <c r="E261" s="38"/>
      <c r="K261" s="51"/>
    </row>
    <row r="262">
      <c r="B262" s="38"/>
      <c r="C262" s="38"/>
      <c r="D262" s="38"/>
      <c r="E262" s="38"/>
      <c r="K262" s="51"/>
    </row>
    <row r="263">
      <c r="B263" s="38"/>
      <c r="C263" s="38"/>
      <c r="D263" s="38"/>
      <c r="E263" s="38"/>
      <c r="K263" s="51"/>
    </row>
    <row r="264">
      <c r="B264" s="38"/>
      <c r="C264" s="38"/>
      <c r="D264" s="38"/>
      <c r="E264" s="38"/>
      <c r="K264" s="51"/>
    </row>
    <row r="265">
      <c r="B265" s="38"/>
      <c r="C265" s="38"/>
      <c r="D265" s="38"/>
      <c r="E265" s="38"/>
      <c r="K265" s="51"/>
    </row>
    <row r="266">
      <c r="B266" s="38"/>
      <c r="C266" s="38"/>
      <c r="D266" s="38"/>
      <c r="E266" s="38"/>
      <c r="K266" s="51"/>
    </row>
    <row r="267">
      <c r="B267" s="38"/>
      <c r="C267" s="38"/>
      <c r="D267" s="38"/>
      <c r="E267" s="38"/>
      <c r="K267" s="51"/>
    </row>
    <row r="268">
      <c r="B268" s="38"/>
      <c r="C268" s="38"/>
      <c r="D268" s="38"/>
      <c r="E268" s="38"/>
      <c r="K268" s="51"/>
    </row>
    <row r="269">
      <c r="B269" s="38"/>
      <c r="C269" s="38"/>
      <c r="D269" s="38"/>
      <c r="E269" s="38"/>
      <c r="K269" s="51"/>
    </row>
    <row r="270">
      <c r="B270" s="38"/>
      <c r="C270" s="38"/>
      <c r="D270" s="38"/>
      <c r="E270" s="38"/>
      <c r="K270" s="51"/>
    </row>
    <row r="271">
      <c r="B271" s="38"/>
      <c r="C271" s="38"/>
      <c r="D271" s="38"/>
      <c r="E271" s="38"/>
      <c r="K271" s="51"/>
    </row>
    <row r="272">
      <c r="B272" s="38"/>
      <c r="C272" s="38"/>
      <c r="D272" s="38"/>
      <c r="E272" s="38"/>
      <c r="K272" s="51"/>
    </row>
    <row r="273">
      <c r="B273" s="38"/>
      <c r="C273" s="38"/>
      <c r="D273" s="38"/>
      <c r="E273" s="38"/>
      <c r="K273" s="51"/>
    </row>
    <row r="274">
      <c r="B274" s="38"/>
      <c r="C274" s="38"/>
      <c r="D274" s="38"/>
      <c r="E274" s="38"/>
      <c r="K274" s="51"/>
    </row>
    <row r="275">
      <c r="B275" s="38"/>
      <c r="C275" s="38"/>
      <c r="D275" s="38"/>
      <c r="E275" s="38"/>
      <c r="K275" s="51"/>
    </row>
    <row r="276">
      <c r="B276" s="38"/>
      <c r="C276" s="38"/>
      <c r="D276" s="38"/>
      <c r="E276" s="38"/>
      <c r="K276" s="51"/>
    </row>
    <row r="277">
      <c r="B277" s="38"/>
      <c r="C277" s="38"/>
      <c r="D277" s="38"/>
      <c r="E277" s="38"/>
      <c r="K277" s="51"/>
    </row>
    <row r="278">
      <c r="B278" s="38"/>
      <c r="C278" s="38"/>
      <c r="D278" s="38"/>
      <c r="E278" s="38"/>
      <c r="K278" s="51"/>
    </row>
    <row r="279">
      <c r="B279" s="38"/>
      <c r="C279" s="38"/>
      <c r="D279" s="38"/>
      <c r="E279" s="38"/>
      <c r="K279" s="51"/>
    </row>
    <row r="280">
      <c r="B280" s="38"/>
      <c r="C280" s="38"/>
      <c r="D280" s="38"/>
      <c r="E280" s="38"/>
      <c r="K280" s="51"/>
    </row>
    <row r="281">
      <c r="B281" s="38"/>
      <c r="C281" s="38"/>
      <c r="D281" s="38"/>
      <c r="E281" s="38"/>
      <c r="K281" s="51"/>
    </row>
    <row r="282">
      <c r="B282" s="38"/>
      <c r="C282" s="38"/>
      <c r="D282" s="38"/>
      <c r="E282" s="38"/>
      <c r="K282" s="51"/>
    </row>
    <row r="283">
      <c r="B283" s="38"/>
      <c r="C283" s="38"/>
      <c r="D283" s="38"/>
      <c r="E283" s="38"/>
      <c r="K283" s="51"/>
    </row>
    <row r="284">
      <c r="B284" s="38"/>
      <c r="C284" s="38"/>
      <c r="D284" s="38"/>
      <c r="E284" s="38"/>
      <c r="K284" s="51"/>
    </row>
    <row r="285">
      <c r="B285" s="38"/>
      <c r="C285" s="38"/>
      <c r="D285" s="38"/>
      <c r="E285" s="38"/>
      <c r="K285" s="51"/>
    </row>
    <row r="286">
      <c r="B286" s="38"/>
      <c r="C286" s="38"/>
      <c r="D286" s="38"/>
      <c r="E286" s="38"/>
      <c r="K286" s="51"/>
    </row>
    <row r="287">
      <c r="B287" s="38"/>
      <c r="C287" s="38"/>
      <c r="D287" s="38"/>
      <c r="E287" s="38"/>
      <c r="K287" s="51"/>
    </row>
    <row r="288">
      <c r="B288" s="38"/>
      <c r="C288" s="38"/>
      <c r="D288" s="38"/>
      <c r="E288" s="38"/>
      <c r="K288" s="51"/>
    </row>
    <row r="289">
      <c r="B289" s="38"/>
      <c r="C289" s="38"/>
      <c r="D289" s="38"/>
      <c r="E289" s="38"/>
      <c r="K289" s="51"/>
    </row>
    <row r="290">
      <c r="B290" s="38"/>
      <c r="C290" s="38"/>
      <c r="D290" s="38"/>
      <c r="E290" s="38"/>
      <c r="K290" s="51"/>
    </row>
    <row r="291">
      <c r="B291" s="38"/>
      <c r="C291" s="38"/>
      <c r="D291" s="38"/>
      <c r="E291" s="38"/>
      <c r="K291" s="51"/>
    </row>
    <row r="292">
      <c r="B292" s="38"/>
      <c r="C292" s="38"/>
      <c r="D292" s="38"/>
      <c r="E292" s="38"/>
      <c r="K292" s="51"/>
    </row>
    <row r="293">
      <c r="B293" s="38"/>
      <c r="C293" s="38"/>
      <c r="D293" s="38"/>
      <c r="E293" s="38"/>
      <c r="K293" s="51"/>
    </row>
    <row r="294">
      <c r="B294" s="38"/>
      <c r="C294" s="38"/>
      <c r="D294" s="38"/>
      <c r="E294" s="38"/>
      <c r="K294" s="51"/>
    </row>
    <row r="295">
      <c r="B295" s="38"/>
      <c r="C295" s="38"/>
      <c r="D295" s="38"/>
      <c r="E295" s="38"/>
      <c r="K295" s="51"/>
    </row>
    <row r="296">
      <c r="B296" s="38"/>
      <c r="C296" s="38"/>
      <c r="D296" s="38"/>
      <c r="E296" s="38"/>
      <c r="K296" s="51"/>
    </row>
    <row r="297">
      <c r="B297" s="38"/>
      <c r="C297" s="38"/>
      <c r="D297" s="38"/>
      <c r="E297" s="38"/>
      <c r="K297" s="51"/>
    </row>
    <row r="298">
      <c r="B298" s="38"/>
      <c r="C298" s="38"/>
      <c r="D298" s="38"/>
      <c r="E298" s="38"/>
      <c r="K298" s="51"/>
    </row>
    <row r="299">
      <c r="B299" s="38"/>
      <c r="C299" s="38"/>
      <c r="D299" s="38"/>
      <c r="E299" s="38"/>
      <c r="K299" s="51"/>
    </row>
    <row r="300">
      <c r="B300" s="38"/>
      <c r="C300" s="38"/>
      <c r="D300" s="38"/>
      <c r="E300" s="38"/>
      <c r="K300" s="51"/>
    </row>
    <row r="301">
      <c r="B301" s="38"/>
      <c r="C301" s="38"/>
      <c r="D301" s="38"/>
      <c r="E301" s="38"/>
      <c r="K301" s="51"/>
    </row>
    <row r="302">
      <c r="B302" s="38"/>
      <c r="C302" s="38"/>
      <c r="D302" s="38"/>
      <c r="E302" s="38"/>
      <c r="K302" s="51"/>
    </row>
    <row r="303">
      <c r="B303" s="38"/>
      <c r="C303" s="38"/>
      <c r="D303" s="38"/>
      <c r="E303" s="38"/>
      <c r="K303" s="51"/>
    </row>
    <row r="304">
      <c r="B304" s="38"/>
      <c r="C304" s="38"/>
      <c r="D304" s="38"/>
      <c r="E304" s="38"/>
      <c r="K304" s="51"/>
    </row>
    <row r="305">
      <c r="B305" s="38"/>
      <c r="C305" s="38"/>
      <c r="D305" s="38"/>
      <c r="E305" s="38"/>
      <c r="K305" s="51"/>
    </row>
    <row r="306">
      <c r="B306" s="38"/>
      <c r="C306" s="38"/>
      <c r="D306" s="38"/>
      <c r="E306" s="38"/>
      <c r="K306" s="51"/>
    </row>
    <row r="307">
      <c r="B307" s="38"/>
      <c r="C307" s="38"/>
      <c r="D307" s="38"/>
      <c r="E307" s="38"/>
      <c r="K307" s="51"/>
    </row>
    <row r="308">
      <c r="B308" s="38"/>
      <c r="C308" s="38"/>
      <c r="D308" s="38"/>
      <c r="E308" s="38"/>
      <c r="K308" s="51"/>
    </row>
    <row r="309">
      <c r="B309" s="38"/>
      <c r="C309" s="38"/>
      <c r="D309" s="38"/>
      <c r="E309" s="38"/>
      <c r="K309" s="51"/>
    </row>
    <row r="310">
      <c r="B310" s="38"/>
      <c r="C310" s="38"/>
      <c r="D310" s="38"/>
      <c r="E310" s="38"/>
      <c r="K310" s="51"/>
    </row>
    <row r="311">
      <c r="B311" s="38"/>
      <c r="C311" s="38"/>
      <c r="D311" s="38"/>
      <c r="E311" s="38"/>
      <c r="K311" s="51"/>
    </row>
    <row r="312">
      <c r="B312" s="38"/>
      <c r="C312" s="38"/>
      <c r="D312" s="38"/>
      <c r="E312" s="38"/>
      <c r="K312" s="51"/>
    </row>
    <row r="313">
      <c r="B313" s="38"/>
      <c r="C313" s="38"/>
      <c r="D313" s="38"/>
      <c r="E313" s="38"/>
      <c r="K313" s="51"/>
    </row>
    <row r="314">
      <c r="B314" s="38"/>
      <c r="C314" s="38"/>
      <c r="D314" s="38"/>
      <c r="E314" s="38"/>
      <c r="K314" s="51"/>
    </row>
    <row r="315">
      <c r="B315" s="38"/>
      <c r="C315" s="38"/>
      <c r="D315" s="38"/>
      <c r="E315" s="38"/>
      <c r="K315" s="51"/>
    </row>
    <row r="316">
      <c r="B316" s="38"/>
      <c r="C316" s="38"/>
      <c r="D316" s="38"/>
      <c r="E316" s="38"/>
      <c r="K316" s="51"/>
    </row>
    <row r="317">
      <c r="B317" s="38"/>
      <c r="C317" s="38"/>
      <c r="D317" s="38"/>
      <c r="E317" s="38"/>
      <c r="K317" s="51"/>
    </row>
    <row r="318">
      <c r="B318" s="38"/>
      <c r="C318" s="38"/>
      <c r="D318" s="38"/>
      <c r="E318" s="38"/>
      <c r="K318" s="51"/>
    </row>
    <row r="319">
      <c r="B319" s="38"/>
      <c r="C319" s="38"/>
      <c r="D319" s="38"/>
      <c r="E319" s="38"/>
      <c r="K319" s="51"/>
    </row>
    <row r="320">
      <c r="B320" s="38"/>
      <c r="C320" s="38"/>
      <c r="D320" s="38"/>
      <c r="E320" s="38"/>
      <c r="K320" s="51"/>
    </row>
    <row r="321">
      <c r="B321" s="38"/>
      <c r="C321" s="38"/>
      <c r="D321" s="38"/>
      <c r="E321" s="38"/>
      <c r="K321" s="51"/>
    </row>
    <row r="322">
      <c r="B322" s="38"/>
      <c r="C322" s="38"/>
      <c r="D322" s="38"/>
      <c r="E322" s="38"/>
      <c r="K322" s="51"/>
    </row>
    <row r="323">
      <c r="B323" s="38"/>
      <c r="C323" s="38"/>
      <c r="D323" s="38"/>
      <c r="E323" s="38"/>
      <c r="K323" s="51"/>
    </row>
    <row r="324">
      <c r="B324" s="38"/>
      <c r="C324" s="38"/>
      <c r="D324" s="38"/>
      <c r="E324" s="38"/>
      <c r="K324" s="51"/>
    </row>
    <row r="325">
      <c r="B325" s="38"/>
      <c r="C325" s="38"/>
      <c r="D325" s="38"/>
      <c r="E325" s="38"/>
      <c r="K325" s="51"/>
    </row>
    <row r="326">
      <c r="B326" s="38"/>
      <c r="C326" s="38"/>
      <c r="D326" s="38"/>
      <c r="E326" s="38"/>
      <c r="K326" s="51"/>
    </row>
    <row r="327">
      <c r="B327" s="38"/>
      <c r="C327" s="38"/>
      <c r="D327" s="38"/>
      <c r="E327" s="38"/>
      <c r="K327" s="51"/>
    </row>
    <row r="328">
      <c r="B328" s="38"/>
      <c r="C328" s="38"/>
      <c r="D328" s="38"/>
      <c r="E328" s="38"/>
      <c r="K328" s="51"/>
    </row>
    <row r="329">
      <c r="B329" s="38"/>
      <c r="C329" s="38"/>
      <c r="D329" s="38"/>
      <c r="E329" s="38"/>
      <c r="K329" s="51"/>
    </row>
    <row r="330">
      <c r="B330" s="38"/>
      <c r="C330" s="38"/>
      <c r="D330" s="38"/>
      <c r="E330" s="38"/>
      <c r="K330" s="51"/>
    </row>
    <row r="331">
      <c r="B331" s="38"/>
      <c r="C331" s="38"/>
      <c r="D331" s="38"/>
      <c r="E331" s="38"/>
      <c r="K331" s="51"/>
    </row>
    <row r="332">
      <c r="B332" s="38"/>
      <c r="C332" s="38"/>
      <c r="D332" s="38"/>
      <c r="E332" s="38"/>
      <c r="K332" s="51"/>
    </row>
    <row r="333">
      <c r="B333" s="38"/>
      <c r="C333" s="38"/>
      <c r="D333" s="38"/>
      <c r="E333" s="38"/>
      <c r="K333" s="51"/>
    </row>
    <row r="334">
      <c r="B334" s="38"/>
      <c r="C334" s="38"/>
      <c r="D334" s="38"/>
      <c r="E334" s="38"/>
      <c r="K334" s="51"/>
    </row>
    <row r="335">
      <c r="B335" s="38"/>
      <c r="C335" s="38"/>
      <c r="D335" s="38"/>
      <c r="E335" s="38"/>
      <c r="K335" s="51"/>
    </row>
    <row r="336">
      <c r="B336" s="38"/>
      <c r="C336" s="38"/>
      <c r="D336" s="38"/>
      <c r="E336" s="38"/>
      <c r="K336" s="51"/>
    </row>
    <row r="337">
      <c r="B337" s="38"/>
      <c r="C337" s="38"/>
      <c r="D337" s="38"/>
      <c r="E337" s="38"/>
      <c r="K337" s="51"/>
    </row>
    <row r="338">
      <c r="B338" s="38"/>
      <c r="C338" s="38"/>
      <c r="D338" s="38"/>
      <c r="E338" s="38"/>
      <c r="K338" s="51"/>
    </row>
    <row r="339">
      <c r="B339" s="38"/>
      <c r="C339" s="38"/>
      <c r="D339" s="38"/>
      <c r="E339" s="38"/>
      <c r="K339" s="51"/>
    </row>
    <row r="340">
      <c r="B340" s="38"/>
      <c r="C340" s="38"/>
      <c r="D340" s="38"/>
      <c r="E340" s="38"/>
      <c r="K340" s="51"/>
    </row>
    <row r="341">
      <c r="B341" s="38"/>
      <c r="C341" s="38"/>
      <c r="D341" s="38"/>
      <c r="E341" s="38"/>
      <c r="K341" s="51"/>
    </row>
    <row r="342">
      <c r="B342" s="38"/>
      <c r="C342" s="38"/>
      <c r="D342" s="38"/>
      <c r="E342" s="38"/>
      <c r="K342" s="51"/>
    </row>
    <row r="343">
      <c r="B343" s="38"/>
      <c r="C343" s="38"/>
      <c r="D343" s="38"/>
      <c r="E343" s="38"/>
      <c r="K343" s="51"/>
    </row>
    <row r="344">
      <c r="B344" s="38"/>
      <c r="C344" s="38"/>
      <c r="D344" s="38"/>
      <c r="E344" s="38"/>
      <c r="K344" s="51"/>
    </row>
    <row r="345">
      <c r="B345" s="38"/>
      <c r="C345" s="38"/>
      <c r="D345" s="38"/>
      <c r="E345" s="38"/>
      <c r="K345" s="51"/>
    </row>
    <row r="346">
      <c r="B346" s="38"/>
      <c r="C346" s="38"/>
      <c r="D346" s="38"/>
      <c r="E346" s="38"/>
      <c r="K346" s="51"/>
    </row>
    <row r="347">
      <c r="B347" s="38"/>
      <c r="C347" s="38"/>
      <c r="D347" s="38"/>
      <c r="E347" s="38"/>
      <c r="K347" s="51"/>
    </row>
    <row r="348">
      <c r="B348" s="38"/>
      <c r="C348" s="38"/>
      <c r="D348" s="38"/>
      <c r="E348" s="38"/>
      <c r="K348" s="51"/>
    </row>
    <row r="349">
      <c r="B349" s="38"/>
      <c r="C349" s="38"/>
      <c r="D349" s="38"/>
      <c r="E349" s="38"/>
      <c r="K349" s="51"/>
    </row>
    <row r="350">
      <c r="B350" s="38"/>
      <c r="C350" s="38"/>
      <c r="D350" s="38"/>
      <c r="E350" s="38"/>
      <c r="K350" s="51"/>
    </row>
    <row r="351">
      <c r="B351" s="38"/>
      <c r="C351" s="38"/>
      <c r="D351" s="38"/>
      <c r="E351" s="38"/>
      <c r="K351" s="51"/>
    </row>
    <row r="352">
      <c r="B352" s="38"/>
      <c r="C352" s="38"/>
      <c r="D352" s="38"/>
      <c r="E352" s="38"/>
      <c r="K352" s="51"/>
    </row>
    <row r="353">
      <c r="B353" s="38"/>
      <c r="C353" s="38"/>
      <c r="D353" s="38"/>
      <c r="E353" s="38"/>
      <c r="K353" s="51"/>
    </row>
    <row r="354">
      <c r="B354" s="38"/>
      <c r="C354" s="38"/>
      <c r="D354" s="38"/>
      <c r="E354" s="38"/>
      <c r="K354" s="51"/>
    </row>
    <row r="355">
      <c r="B355" s="38"/>
      <c r="C355" s="38"/>
      <c r="D355" s="38"/>
      <c r="E355" s="38"/>
      <c r="K355" s="51"/>
    </row>
    <row r="356">
      <c r="B356" s="38"/>
      <c r="C356" s="38"/>
      <c r="D356" s="38"/>
      <c r="E356" s="38"/>
      <c r="K356" s="51"/>
    </row>
    <row r="357">
      <c r="B357" s="38"/>
      <c r="C357" s="38"/>
      <c r="D357" s="38"/>
      <c r="E357" s="38"/>
      <c r="K357" s="51"/>
    </row>
    <row r="358">
      <c r="B358" s="38"/>
      <c r="C358" s="38"/>
      <c r="D358" s="38"/>
      <c r="E358" s="38"/>
      <c r="K358" s="51"/>
    </row>
    <row r="359">
      <c r="B359" s="38"/>
      <c r="C359" s="38"/>
      <c r="D359" s="38"/>
      <c r="E359" s="38"/>
      <c r="K359" s="51"/>
    </row>
    <row r="360">
      <c r="B360" s="38"/>
      <c r="C360" s="38"/>
      <c r="D360" s="38"/>
      <c r="E360" s="38"/>
      <c r="K360" s="51"/>
    </row>
    <row r="361">
      <c r="B361" s="38"/>
      <c r="C361" s="38"/>
      <c r="D361" s="38"/>
      <c r="E361" s="38"/>
      <c r="K361" s="51"/>
    </row>
    <row r="362">
      <c r="B362" s="38"/>
      <c r="C362" s="38"/>
      <c r="D362" s="38"/>
      <c r="E362" s="38"/>
      <c r="K362" s="51"/>
    </row>
    <row r="363">
      <c r="B363" s="38"/>
      <c r="C363" s="38"/>
      <c r="D363" s="38"/>
      <c r="E363" s="38"/>
      <c r="K363" s="51"/>
    </row>
    <row r="364">
      <c r="B364" s="38"/>
      <c r="C364" s="38"/>
      <c r="D364" s="38"/>
      <c r="E364" s="38"/>
      <c r="K364" s="51"/>
    </row>
    <row r="365">
      <c r="B365" s="38"/>
      <c r="C365" s="38"/>
      <c r="D365" s="38"/>
      <c r="E365" s="38"/>
      <c r="K365" s="51"/>
    </row>
    <row r="366">
      <c r="B366" s="38"/>
      <c r="C366" s="38"/>
      <c r="D366" s="38"/>
      <c r="E366" s="38"/>
      <c r="K366" s="51"/>
    </row>
    <row r="367">
      <c r="B367" s="38"/>
      <c r="C367" s="38"/>
      <c r="D367" s="38"/>
      <c r="E367" s="38"/>
      <c r="K367" s="51"/>
    </row>
    <row r="368">
      <c r="B368" s="38"/>
      <c r="C368" s="38"/>
      <c r="D368" s="38"/>
      <c r="E368" s="38"/>
      <c r="K368" s="51"/>
    </row>
    <row r="369">
      <c r="B369" s="38"/>
      <c r="C369" s="38"/>
      <c r="D369" s="38"/>
      <c r="E369" s="38"/>
      <c r="K369" s="51"/>
    </row>
    <row r="370">
      <c r="B370" s="38"/>
      <c r="C370" s="38"/>
      <c r="D370" s="38"/>
      <c r="E370" s="38"/>
      <c r="K370" s="51"/>
    </row>
    <row r="371">
      <c r="B371" s="38"/>
      <c r="C371" s="38"/>
      <c r="D371" s="38"/>
      <c r="E371" s="38"/>
      <c r="K371" s="51"/>
    </row>
    <row r="372">
      <c r="B372" s="38"/>
      <c r="C372" s="38"/>
      <c r="D372" s="38"/>
      <c r="E372" s="38"/>
      <c r="K372" s="51"/>
    </row>
    <row r="373">
      <c r="B373" s="38"/>
      <c r="C373" s="38"/>
      <c r="D373" s="38"/>
      <c r="E373" s="38"/>
      <c r="K373" s="51"/>
    </row>
    <row r="374">
      <c r="B374" s="38"/>
      <c r="C374" s="38"/>
      <c r="D374" s="38"/>
      <c r="E374" s="38"/>
      <c r="K374" s="51"/>
    </row>
    <row r="375">
      <c r="B375" s="38"/>
      <c r="C375" s="38"/>
      <c r="D375" s="38"/>
      <c r="E375" s="38"/>
      <c r="K375" s="51"/>
    </row>
    <row r="376">
      <c r="B376" s="38"/>
      <c r="C376" s="38"/>
      <c r="D376" s="38"/>
      <c r="E376" s="38"/>
      <c r="K376" s="51"/>
    </row>
    <row r="377">
      <c r="B377" s="38"/>
      <c r="C377" s="38"/>
      <c r="D377" s="38"/>
      <c r="E377" s="38"/>
      <c r="K377" s="51"/>
    </row>
    <row r="378">
      <c r="B378" s="38"/>
      <c r="C378" s="38"/>
      <c r="D378" s="38"/>
      <c r="E378" s="38"/>
      <c r="K378" s="51"/>
    </row>
    <row r="379">
      <c r="B379" s="38"/>
      <c r="C379" s="38"/>
      <c r="D379" s="38"/>
      <c r="E379" s="38"/>
      <c r="K379" s="51"/>
    </row>
    <row r="380">
      <c r="B380" s="38"/>
      <c r="C380" s="38"/>
      <c r="D380" s="38"/>
      <c r="E380" s="38"/>
      <c r="K380" s="51"/>
    </row>
    <row r="381">
      <c r="B381" s="38"/>
      <c r="C381" s="38"/>
      <c r="D381" s="38"/>
      <c r="E381" s="38"/>
      <c r="K381" s="51"/>
    </row>
    <row r="382">
      <c r="B382" s="38"/>
      <c r="C382" s="38"/>
      <c r="D382" s="38"/>
      <c r="E382" s="38"/>
      <c r="K382" s="51"/>
    </row>
    <row r="383">
      <c r="B383" s="38"/>
      <c r="C383" s="38"/>
      <c r="D383" s="38"/>
      <c r="E383" s="38"/>
      <c r="K383" s="51"/>
    </row>
    <row r="384">
      <c r="B384" s="38"/>
      <c r="C384" s="38"/>
      <c r="D384" s="38"/>
      <c r="E384" s="38"/>
      <c r="K384" s="51"/>
    </row>
    <row r="385">
      <c r="B385" s="38"/>
      <c r="C385" s="38"/>
      <c r="D385" s="38"/>
      <c r="E385" s="38"/>
      <c r="K385" s="51"/>
    </row>
    <row r="386">
      <c r="B386" s="38"/>
      <c r="C386" s="38"/>
      <c r="D386" s="38"/>
      <c r="E386" s="38"/>
      <c r="K386" s="51"/>
    </row>
    <row r="387">
      <c r="B387" s="38"/>
      <c r="C387" s="38"/>
      <c r="D387" s="38"/>
      <c r="E387" s="38"/>
      <c r="K387" s="51"/>
    </row>
    <row r="388">
      <c r="B388" s="38"/>
      <c r="C388" s="38"/>
      <c r="D388" s="38"/>
      <c r="E388" s="38"/>
      <c r="K388" s="51"/>
    </row>
    <row r="389">
      <c r="B389" s="38"/>
      <c r="C389" s="38"/>
      <c r="D389" s="38"/>
      <c r="E389" s="38"/>
      <c r="K389" s="51"/>
    </row>
    <row r="390">
      <c r="B390" s="38"/>
      <c r="C390" s="38"/>
      <c r="D390" s="38"/>
      <c r="E390" s="38"/>
      <c r="K390" s="51"/>
    </row>
    <row r="391">
      <c r="B391" s="38"/>
      <c r="C391" s="38"/>
      <c r="D391" s="38"/>
      <c r="E391" s="38"/>
      <c r="K391" s="51"/>
    </row>
    <row r="392">
      <c r="B392" s="38"/>
      <c r="C392" s="38"/>
      <c r="D392" s="38"/>
      <c r="E392" s="38"/>
      <c r="K392" s="51"/>
    </row>
    <row r="393">
      <c r="B393" s="38"/>
      <c r="C393" s="38"/>
      <c r="D393" s="38"/>
      <c r="E393" s="38"/>
      <c r="K393" s="51"/>
    </row>
    <row r="394">
      <c r="B394" s="38"/>
      <c r="C394" s="38"/>
      <c r="D394" s="38"/>
      <c r="E394" s="38"/>
      <c r="K394" s="51"/>
    </row>
    <row r="395">
      <c r="B395" s="38"/>
      <c r="C395" s="38"/>
      <c r="D395" s="38"/>
      <c r="E395" s="38"/>
      <c r="K395" s="51"/>
    </row>
    <row r="396">
      <c r="B396" s="38"/>
      <c r="C396" s="38"/>
      <c r="D396" s="38"/>
      <c r="E396" s="38"/>
      <c r="K396" s="51"/>
    </row>
    <row r="397">
      <c r="B397" s="38"/>
      <c r="C397" s="38"/>
      <c r="D397" s="38"/>
      <c r="E397" s="38"/>
      <c r="K397" s="51"/>
    </row>
    <row r="398">
      <c r="B398" s="38"/>
      <c r="C398" s="38"/>
      <c r="D398" s="38"/>
      <c r="E398" s="38"/>
      <c r="K398" s="51"/>
    </row>
    <row r="399">
      <c r="B399" s="38"/>
      <c r="C399" s="38"/>
      <c r="D399" s="38"/>
      <c r="E399" s="38"/>
      <c r="K399" s="51"/>
    </row>
    <row r="400">
      <c r="B400" s="38"/>
      <c r="C400" s="38"/>
      <c r="D400" s="38"/>
      <c r="E400" s="38"/>
      <c r="K400" s="51"/>
    </row>
    <row r="401">
      <c r="B401" s="38"/>
      <c r="C401" s="38"/>
      <c r="D401" s="38"/>
      <c r="E401" s="38"/>
      <c r="K401" s="51"/>
    </row>
    <row r="402">
      <c r="B402" s="38"/>
      <c r="C402" s="38"/>
      <c r="D402" s="38"/>
      <c r="E402" s="38"/>
      <c r="K402" s="51"/>
    </row>
    <row r="403">
      <c r="B403" s="38"/>
      <c r="C403" s="38"/>
      <c r="D403" s="38"/>
      <c r="E403" s="38"/>
      <c r="K403" s="51"/>
    </row>
    <row r="404">
      <c r="B404" s="38"/>
      <c r="C404" s="38"/>
      <c r="D404" s="38"/>
      <c r="E404" s="38"/>
      <c r="K404" s="51"/>
    </row>
    <row r="405">
      <c r="B405" s="38"/>
      <c r="C405" s="38"/>
      <c r="D405" s="38"/>
      <c r="E405" s="38"/>
      <c r="K405" s="51"/>
    </row>
    <row r="406">
      <c r="B406" s="38"/>
      <c r="C406" s="38"/>
      <c r="D406" s="38"/>
      <c r="E406" s="38"/>
      <c r="K406" s="51"/>
    </row>
    <row r="407">
      <c r="B407" s="38"/>
      <c r="C407" s="38"/>
      <c r="D407" s="38"/>
      <c r="E407" s="38"/>
      <c r="K407" s="51"/>
    </row>
    <row r="408">
      <c r="B408" s="38"/>
      <c r="C408" s="38"/>
      <c r="D408" s="38"/>
      <c r="E408" s="38"/>
      <c r="K408" s="51"/>
    </row>
    <row r="409">
      <c r="B409" s="38"/>
      <c r="C409" s="38"/>
      <c r="D409" s="38"/>
      <c r="E409" s="38"/>
      <c r="K409" s="51"/>
    </row>
    <row r="410">
      <c r="B410" s="38"/>
      <c r="C410" s="38"/>
      <c r="D410" s="38"/>
      <c r="E410" s="38"/>
      <c r="K410" s="51"/>
    </row>
    <row r="411">
      <c r="B411" s="38"/>
      <c r="C411" s="38"/>
      <c r="D411" s="38"/>
      <c r="E411" s="38"/>
      <c r="K411" s="51"/>
    </row>
    <row r="412">
      <c r="B412" s="38"/>
      <c r="C412" s="38"/>
      <c r="D412" s="38"/>
      <c r="E412" s="38"/>
      <c r="K412" s="51"/>
    </row>
    <row r="413">
      <c r="B413" s="38"/>
      <c r="C413" s="38"/>
      <c r="D413" s="38"/>
      <c r="E413" s="38"/>
      <c r="K413" s="51"/>
    </row>
    <row r="414">
      <c r="B414" s="38"/>
      <c r="C414" s="38"/>
      <c r="D414" s="38"/>
      <c r="E414" s="38"/>
      <c r="K414" s="51"/>
    </row>
    <row r="415">
      <c r="B415" s="38"/>
      <c r="C415" s="38"/>
      <c r="D415" s="38"/>
      <c r="E415" s="38"/>
      <c r="K415" s="51"/>
    </row>
    <row r="416">
      <c r="B416" s="38"/>
      <c r="C416" s="38"/>
      <c r="D416" s="38"/>
      <c r="E416" s="38"/>
      <c r="K416" s="51"/>
    </row>
    <row r="417">
      <c r="B417" s="38"/>
      <c r="C417" s="38"/>
      <c r="D417" s="38"/>
      <c r="E417" s="38"/>
      <c r="K417" s="51"/>
    </row>
    <row r="418">
      <c r="B418" s="38"/>
      <c r="C418" s="38"/>
      <c r="D418" s="38"/>
      <c r="E418" s="38"/>
      <c r="K418" s="51"/>
    </row>
    <row r="419">
      <c r="B419" s="38"/>
      <c r="C419" s="38"/>
      <c r="D419" s="38"/>
      <c r="E419" s="38"/>
      <c r="K419" s="51"/>
    </row>
    <row r="420">
      <c r="B420" s="38"/>
      <c r="C420" s="38"/>
      <c r="D420" s="38"/>
      <c r="E420" s="38"/>
      <c r="K420" s="51"/>
    </row>
    <row r="421">
      <c r="B421" s="38"/>
      <c r="C421" s="38"/>
      <c r="D421" s="38"/>
      <c r="E421" s="38"/>
      <c r="K421" s="51"/>
    </row>
    <row r="422">
      <c r="B422" s="38"/>
      <c r="C422" s="38"/>
      <c r="D422" s="38"/>
      <c r="E422" s="38"/>
      <c r="K422" s="51"/>
    </row>
    <row r="423">
      <c r="B423" s="38"/>
      <c r="C423" s="38"/>
      <c r="D423" s="38"/>
      <c r="E423" s="38"/>
      <c r="K423" s="51"/>
    </row>
    <row r="424">
      <c r="B424" s="38"/>
      <c r="C424" s="38"/>
      <c r="D424" s="38"/>
      <c r="E424" s="38"/>
      <c r="K424" s="51"/>
    </row>
    <row r="425">
      <c r="B425" s="38"/>
      <c r="C425" s="38"/>
      <c r="D425" s="38"/>
      <c r="E425" s="38"/>
      <c r="K425" s="51"/>
    </row>
    <row r="426">
      <c r="B426" s="38"/>
      <c r="C426" s="38"/>
      <c r="D426" s="38"/>
      <c r="E426" s="38"/>
      <c r="K426" s="51"/>
    </row>
    <row r="427">
      <c r="B427" s="38"/>
      <c r="C427" s="38"/>
      <c r="D427" s="38"/>
      <c r="E427" s="38"/>
      <c r="K427" s="51"/>
    </row>
    <row r="428">
      <c r="B428" s="38"/>
      <c r="C428" s="38"/>
      <c r="D428" s="38"/>
      <c r="E428" s="38"/>
      <c r="K428" s="51"/>
    </row>
    <row r="429">
      <c r="B429" s="38"/>
      <c r="C429" s="38"/>
      <c r="D429" s="38"/>
      <c r="E429" s="38"/>
      <c r="K429" s="51"/>
    </row>
    <row r="430">
      <c r="B430" s="38"/>
      <c r="C430" s="38"/>
      <c r="D430" s="38"/>
      <c r="E430" s="38"/>
      <c r="K430" s="51"/>
    </row>
    <row r="431">
      <c r="B431" s="38"/>
      <c r="C431" s="38"/>
      <c r="D431" s="38"/>
      <c r="E431" s="38"/>
      <c r="K431" s="51"/>
    </row>
    <row r="432">
      <c r="B432" s="38"/>
      <c r="C432" s="38"/>
      <c r="D432" s="38"/>
      <c r="E432" s="38"/>
      <c r="K432" s="51"/>
    </row>
    <row r="433">
      <c r="B433" s="38"/>
      <c r="C433" s="38"/>
      <c r="D433" s="38"/>
      <c r="E433" s="38"/>
      <c r="K433" s="51"/>
    </row>
    <row r="434">
      <c r="B434" s="38"/>
      <c r="C434" s="38"/>
      <c r="D434" s="38"/>
      <c r="E434" s="38"/>
      <c r="K434" s="51"/>
    </row>
    <row r="435">
      <c r="B435" s="38"/>
      <c r="C435" s="38"/>
      <c r="D435" s="38"/>
      <c r="E435" s="38"/>
      <c r="K435" s="51"/>
    </row>
    <row r="436">
      <c r="B436" s="38"/>
      <c r="C436" s="38"/>
      <c r="D436" s="38"/>
      <c r="E436" s="38"/>
      <c r="K436" s="51"/>
    </row>
    <row r="437">
      <c r="B437" s="38"/>
      <c r="C437" s="38"/>
      <c r="D437" s="38"/>
      <c r="E437" s="38"/>
      <c r="K437" s="51"/>
    </row>
    <row r="438">
      <c r="B438" s="38"/>
      <c r="C438" s="38"/>
      <c r="D438" s="38"/>
      <c r="E438" s="38"/>
      <c r="K438" s="51"/>
    </row>
    <row r="439">
      <c r="B439" s="38"/>
      <c r="C439" s="38"/>
      <c r="D439" s="38"/>
      <c r="E439" s="38"/>
      <c r="K439" s="51"/>
    </row>
    <row r="440">
      <c r="B440" s="38"/>
      <c r="C440" s="38"/>
      <c r="D440" s="38"/>
      <c r="E440" s="38"/>
      <c r="K440" s="51"/>
    </row>
    <row r="441">
      <c r="B441" s="38"/>
      <c r="C441" s="38"/>
      <c r="D441" s="38"/>
      <c r="E441" s="38"/>
      <c r="K441" s="51"/>
    </row>
    <row r="442">
      <c r="B442" s="38"/>
      <c r="C442" s="38"/>
      <c r="D442" s="38"/>
      <c r="E442" s="38"/>
      <c r="K442" s="51"/>
    </row>
    <row r="443">
      <c r="B443" s="38"/>
      <c r="C443" s="38"/>
      <c r="D443" s="38"/>
      <c r="E443" s="38"/>
      <c r="K443" s="51"/>
    </row>
    <row r="444">
      <c r="B444" s="38"/>
      <c r="C444" s="38"/>
      <c r="D444" s="38"/>
      <c r="E444" s="38"/>
      <c r="K444" s="51"/>
    </row>
    <row r="445">
      <c r="B445" s="38"/>
      <c r="C445" s="38"/>
      <c r="D445" s="38"/>
      <c r="E445" s="38"/>
      <c r="K445" s="51"/>
    </row>
    <row r="446">
      <c r="B446" s="38"/>
      <c r="C446" s="38"/>
      <c r="D446" s="38"/>
      <c r="E446" s="38"/>
      <c r="K446" s="51"/>
    </row>
    <row r="447">
      <c r="B447" s="38"/>
      <c r="C447" s="38"/>
      <c r="D447" s="38"/>
      <c r="E447" s="38"/>
      <c r="K447" s="51"/>
    </row>
    <row r="448">
      <c r="B448" s="38"/>
      <c r="C448" s="38"/>
      <c r="D448" s="38"/>
      <c r="E448" s="38"/>
      <c r="K448" s="51"/>
    </row>
    <row r="449">
      <c r="B449" s="38"/>
      <c r="C449" s="38"/>
      <c r="D449" s="38"/>
      <c r="E449" s="38"/>
      <c r="K449" s="51"/>
    </row>
    <row r="450">
      <c r="B450" s="38"/>
      <c r="C450" s="38"/>
      <c r="D450" s="38"/>
      <c r="E450" s="38"/>
      <c r="K450" s="51"/>
    </row>
    <row r="451">
      <c r="B451" s="38"/>
      <c r="C451" s="38"/>
      <c r="D451" s="38"/>
      <c r="E451" s="38"/>
      <c r="K451" s="51"/>
    </row>
    <row r="452">
      <c r="B452" s="38"/>
      <c r="C452" s="38"/>
      <c r="D452" s="38"/>
      <c r="E452" s="38"/>
      <c r="K452" s="51"/>
    </row>
    <row r="453">
      <c r="B453" s="38"/>
      <c r="C453" s="38"/>
      <c r="D453" s="38"/>
      <c r="E453" s="38"/>
      <c r="K453" s="51"/>
    </row>
    <row r="454">
      <c r="B454" s="38"/>
      <c r="C454" s="38"/>
      <c r="D454" s="38"/>
      <c r="E454" s="38"/>
      <c r="K454" s="51"/>
    </row>
    <row r="455">
      <c r="B455" s="38"/>
      <c r="C455" s="38"/>
      <c r="D455" s="38"/>
      <c r="E455" s="38"/>
      <c r="K455" s="51"/>
    </row>
    <row r="456">
      <c r="B456" s="38"/>
      <c r="C456" s="38"/>
      <c r="D456" s="38"/>
      <c r="E456" s="38"/>
      <c r="K456" s="51"/>
    </row>
    <row r="457">
      <c r="B457" s="38"/>
      <c r="C457" s="38"/>
      <c r="D457" s="38"/>
      <c r="E457" s="38"/>
      <c r="K457" s="51"/>
    </row>
    <row r="458">
      <c r="B458" s="38"/>
      <c r="C458" s="38"/>
      <c r="D458" s="38"/>
      <c r="E458" s="38"/>
      <c r="K458" s="51"/>
    </row>
    <row r="459">
      <c r="B459" s="38"/>
      <c r="C459" s="38"/>
      <c r="D459" s="38"/>
      <c r="E459" s="38"/>
      <c r="K459" s="51"/>
    </row>
    <row r="460">
      <c r="B460" s="38"/>
      <c r="C460" s="38"/>
      <c r="D460" s="38"/>
      <c r="E460" s="38"/>
      <c r="K460" s="51"/>
    </row>
    <row r="461">
      <c r="B461" s="38"/>
      <c r="C461" s="38"/>
      <c r="D461" s="38"/>
      <c r="E461" s="38"/>
      <c r="K461" s="51"/>
    </row>
    <row r="462">
      <c r="B462" s="38"/>
      <c r="C462" s="38"/>
      <c r="D462" s="38"/>
      <c r="E462" s="38"/>
      <c r="K462" s="51"/>
    </row>
    <row r="463">
      <c r="B463" s="38"/>
      <c r="C463" s="38"/>
      <c r="D463" s="38"/>
      <c r="E463" s="38"/>
      <c r="K463" s="51"/>
    </row>
    <row r="464">
      <c r="B464" s="38"/>
      <c r="C464" s="38"/>
      <c r="D464" s="38"/>
      <c r="E464" s="38"/>
      <c r="K464" s="51"/>
    </row>
    <row r="465">
      <c r="B465" s="38"/>
      <c r="C465" s="38"/>
      <c r="D465" s="38"/>
      <c r="E465" s="38"/>
      <c r="K465" s="51"/>
    </row>
    <row r="466">
      <c r="B466" s="38"/>
      <c r="C466" s="38"/>
      <c r="D466" s="38"/>
      <c r="E466" s="38"/>
      <c r="K466" s="51"/>
    </row>
    <row r="467">
      <c r="B467" s="38"/>
      <c r="C467" s="38"/>
      <c r="D467" s="38"/>
      <c r="E467" s="38"/>
      <c r="K467" s="51"/>
    </row>
    <row r="468">
      <c r="B468" s="38"/>
      <c r="C468" s="38"/>
      <c r="D468" s="38"/>
      <c r="E468" s="38"/>
      <c r="K468" s="51"/>
    </row>
    <row r="469">
      <c r="B469" s="38"/>
      <c r="C469" s="38"/>
      <c r="D469" s="38"/>
      <c r="E469" s="38"/>
      <c r="K469" s="51"/>
    </row>
    <row r="470">
      <c r="B470" s="38"/>
      <c r="C470" s="38"/>
      <c r="D470" s="38"/>
      <c r="E470" s="38"/>
      <c r="K470" s="51"/>
    </row>
    <row r="471">
      <c r="B471" s="38"/>
      <c r="C471" s="38"/>
      <c r="D471" s="38"/>
      <c r="E471" s="38"/>
      <c r="K471" s="51"/>
    </row>
    <row r="472">
      <c r="B472" s="38"/>
      <c r="C472" s="38"/>
      <c r="D472" s="38"/>
      <c r="E472" s="38"/>
      <c r="K472" s="51"/>
    </row>
    <row r="473">
      <c r="B473" s="38"/>
      <c r="C473" s="38"/>
      <c r="D473" s="38"/>
      <c r="E473" s="38"/>
      <c r="K473" s="51"/>
    </row>
    <row r="474">
      <c r="B474" s="38"/>
      <c r="C474" s="38"/>
      <c r="D474" s="38"/>
      <c r="E474" s="38"/>
      <c r="K474" s="51"/>
    </row>
    <row r="475">
      <c r="B475" s="38"/>
      <c r="C475" s="38"/>
      <c r="D475" s="38"/>
      <c r="E475" s="38"/>
      <c r="K475" s="51"/>
    </row>
    <row r="476">
      <c r="B476" s="38"/>
      <c r="C476" s="38"/>
      <c r="D476" s="38"/>
      <c r="E476" s="38"/>
      <c r="K476" s="51"/>
    </row>
    <row r="477">
      <c r="B477" s="38"/>
      <c r="C477" s="38"/>
      <c r="D477" s="38"/>
      <c r="E477" s="38"/>
      <c r="K477" s="51"/>
    </row>
    <row r="478">
      <c r="B478" s="38"/>
      <c r="C478" s="38"/>
      <c r="D478" s="38"/>
      <c r="E478" s="38"/>
      <c r="K478" s="51"/>
    </row>
    <row r="479">
      <c r="B479" s="38"/>
      <c r="C479" s="38"/>
      <c r="D479" s="38"/>
      <c r="E479" s="38"/>
      <c r="K479" s="51"/>
    </row>
    <row r="480">
      <c r="B480" s="38"/>
      <c r="C480" s="38"/>
      <c r="D480" s="38"/>
      <c r="E480" s="38"/>
      <c r="K480" s="51"/>
    </row>
    <row r="481">
      <c r="B481" s="38"/>
      <c r="C481" s="38"/>
      <c r="D481" s="38"/>
      <c r="E481" s="38"/>
      <c r="K481" s="51"/>
    </row>
    <row r="482">
      <c r="B482" s="38"/>
      <c r="C482" s="38"/>
      <c r="D482" s="38"/>
      <c r="E482" s="38"/>
      <c r="K482" s="51"/>
    </row>
    <row r="483">
      <c r="B483" s="38"/>
      <c r="C483" s="38"/>
      <c r="D483" s="38"/>
      <c r="E483" s="38"/>
      <c r="K483" s="51"/>
    </row>
    <row r="484">
      <c r="B484" s="38"/>
      <c r="C484" s="38"/>
      <c r="D484" s="38"/>
      <c r="E484" s="38"/>
      <c r="K484" s="51"/>
    </row>
    <row r="485">
      <c r="B485" s="38"/>
      <c r="C485" s="38"/>
      <c r="D485" s="38"/>
      <c r="E485" s="38"/>
      <c r="K485" s="51"/>
    </row>
    <row r="486">
      <c r="B486" s="38"/>
      <c r="C486" s="38"/>
      <c r="D486" s="38"/>
      <c r="E486" s="38"/>
      <c r="K486" s="51"/>
    </row>
    <row r="487">
      <c r="B487" s="38"/>
      <c r="C487" s="38"/>
      <c r="D487" s="38"/>
      <c r="E487" s="38"/>
      <c r="K487" s="51"/>
    </row>
    <row r="488">
      <c r="B488" s="38"/>
      <c r="C488" s="38"/>
      <c r="D488" s="38"/>
      <c r="E488" s="38"/>
      <c r="K488" s="51"/>
    </row>
    <row r="489">
      <c r="B489" s="38"/>
      <c r="C489" s="38"/>
      <c r="D489" s="38"/>
      <c r="E489" s="38"/>
      <c r="K489" s="51"/>
    </row>
    <row r="490">
      <c r="B490" s="38"/>
      <c r="C490" s="38"/>
      <c r="D490" s="38"/>
      <c r="E490" s="38"/>
      <c r="K490" s="51"/>
    </row>
    <row r="491">
      <c r="B491" s="38"/>
      <c r="C491" s="38"/>
      <c r="D491" s="38"/>
      <c r="E491" s="38"/>
      <c r="K491" s="51"/>
    </row>
    <row r="492">
      <c r="B492" s="38"/>
      <c r="C492" s="38"/>
      <c r="D492" s="38"/>
      <c r="E492" s="38"/>
      <c r="K492" s="51"/>
    </row>
    <row r="493">
      <c r="B493" s="38"/>
      <c r="C493" s="38"/>
      <c r="D493" s="38"/>
      <c r="E493" s="38"/>
      <c r="K493" s="51"/>
    </row>
    <row r="494">
      <c r="B494" s="38"/>
      <c r="C494" s="38"/>
      <c r="D494" s="38"/>
      <c r="E494" s="38"/>
      <c r="K494" s="51"/>
    </row>
    <row r="495">
      <c r="B495" s="38"/>
      <c r="C495" s="38"/>
      <c r="D495" s="38"/>
      <c r="E495" s="38"/>
      <c r="K495" s="51"/>
    </row>
    <row r="496">
      <c r="B496" s="38"/>
      <c r="C496" s="38"/>
      <c r="D496" s="38"/>
      <c r="E496" s="38"/>
      <c r="K496" s="51"/>
    </row>
    <row r="497">
      <c r="B497" s="38"/>
      <c r="C497" s="38"/>
      <c r="D497" s="38"/>
      <c r="E497" s="38"/>
      <c r="K497" s="51"/>
    </row>
    <row r="498">
      <c r="B498" s="38"/>
      <c r="C498" s="38"/>
      <c r="D498" s="38"/>
      <c r="E498" s="38"/>
      <c r="K498" s="51"/>
    </row>
    <row r="499">
      <c r="B499" s="38"/>
      <c r="C499" s="38"/>
      <c r="D499" s="38"/>
      <c r="E499" s="38"/>
      <c r="K499" s="51"/>
    </row>
    <row r="500">
      <c r="B500" s="38"/>
      <c r="C500" s="38"/>
      <c r="D500" s="38"/>
      <c r="E500" s="38"/>
      <c r="K500" s="51"/>
    </row>
    <row r="501">
      <c r="B501" s="38"/>
      <c r="C501" s="38"/>
      <c r="D501" s="38"/>
      <c r="E501" s="38"/>
      <c r="K501" s="51"/>
    </row>
    <row r="502">
      <c r="B502" s="38"/>
      <c r="C502" s="38"/>
      <c r="D502" s="38"/>
      <c r="E502" s="38"/>
      <c r="K502" s="51"/>
    </row>
    <row r="503">
      <c r="B503" s="38"/>
      <c r="C503" s="38"/>
      <c r="D503" s="38"/>
      <c r="E503" s="38"/>
      <c r="K503" s="51"/>
    </row>
    <row r="504">
      <c r="B504" s="38"/>
      <c r="C504" s="38"/>
      <c r="D504" s="38"/>
      <c r="E504" s="38"/>
      <c r="K504" s="51"/>
    </row>
    <row r="505">
      <c r="B505" s="38"/>
      <c r="C505" s="38"/>
      <c r="D505" s="38"/>
      <c r="E505" s="38"/>
      <c r="K505" s="51"/>
    </row>
    <row r="506">
      <c r="B506" s="38"/>
      <c r="C506" s="38"/>
      <c r="D506" s="38"/>
      <c r="E506" s="38"/>
      <c r="K506" s="51"/>
    </row>
    <row r="507">
      <c r="B507" s="38"/>
      <c r="C507" s="38"/>
      <c r="D507" s="38"/>
      <c r="E507" s="38"/>
      <c r="K507" s="51"/>
    </row>
    <row r="508">
      <c r="B508" s="38"/>
      <c r="C508" s="38"/>
      <c r="D508" s="38"/>
      <c r="E508" s="38"/>
      <c r="K508" s="51"/>
    </row>
    <row r="509">
      <c r="B509" s="38"/>
      <c r="C509" s="38"/>
      <c r="D509" s="38"/>
      <c r="E509" s="38"/>
      <c r="K509" s="51"/>
    </row>
    <row r="510">
      <c r="B510" s="38"/>
      <c r="C510" s="38"/>
      <c r="D510" s="38"/>
      <c r="E510" s="38"/>
      <c r="K510" s="51"/>
    </row>
    <row r="511">
      <c r="B511" s="38"/>
      <c r="C511" s="38"/>
      <c r="D511" s="38"/>
      <c r="E511" s="38"/>
      <c r="K511" s="51"/>
    </row>
    <row r="512">
      <c r="B512" s="38"/>
      <c r="C512" s="38"/>
      <c r="D512" s="38"/>
      <c r="E512" s="38"/>
      <c r="K512" s="51"/>
    </row>
    <row r="513">
      <c r="B513" s="38"/>
      <c r="C513" s="38"/>
      <c r="D513" s="38"/>
      <c r="E513" s="38"/>
      <c r="K513" s="51"/>
    </row>
    <row r="514">
      <c r="B514" s="38"/>
      <c r="C514" s="38"/>
      <c r="D514" s="38"/>
      <c r="E514" s="38"/>
      <c r="K514" s="51"/>
    </row>
    <row r="515">
      <c r="B515" s="38"/>
      <c r="C515" s="38"/>
      <c r="D515" s="38"/>
      <c r="E515" s="38"/>
      <c r="K515" s="51"/>
    </row>
    <row r="516">
      <c r="B516" s="38"/>
      <c r="C516" s="38"/>
      <c r="D516" s="38"/>
      <c r="E516" s="38"/>
      <c r="K516" s="51"/>
    </row>
    <row r="517">
      <c r="B517" s="38"/>
      <c r="C517" s="38"/>
      <c r="D517" s="38"/>
      <c r="E517" s="38"/>
      <c r="K517" s="51"/>
    </row>
    <row r="518">
      <c r="B518" s="38"/>
      <c r="C518" s="38"/>
      <c r="D518" s="38"/>
      <c r="E518" s="38"/>
      <c r="K518" s="51"/>
    </row>
    <row r="519">
      <c r="B519" s="38"/>
      <c r="C519" s="38"/>
      <c r="D519" s="38"/>
      <c r="E519" s="38"/>
      <c r="K519" s="51"/>
    </row>
    <row r="520">
      <c r="B520" s="38"/>
      <c r="C520" s="38"/>
      <c r="D520" s="38"/>
      <c r="E520" s="38"/>
      <c r="K520" s="51"/>
    </row>
    <row r="521">
      <c r="B521" s="38"/>
      <c r="C521" s="38"/>
      <c r="D521" s="38"/>
      <c r="E521" s="38"/>
      <c r="K521" s="51"/>
    </row>
    <row r="522">
      <c r="B522" s="38"/>
      <c r="C522" s="38"/>
      <c r="D522" s="38"/>
      <c r="E522" s="38"/>
      <c r="K522" s="51"/>
    </row>
    <row r="523">
      <c r="B523" s="38"/>
      <c r="C523" s="38"/>
      <c r="D523" s="38"/>
      <c r="E523" s="38"/>
      <c r="K523" s="51"/>
    </row>
    <row r="524">
      <c r="B524" s="38"/>
      <c r="C524" s="38"/>
      <c r="D524" s="38"/>
      <c r="E524" s="38"/>
      <c r="K524" s="51"/>
    </row>
    <row r="525">
      <c r="B525" s="38"/>
      <c r="C525" s="38"/>
      <c r="D525" s="38"/>
      <c r="E525" s="38"/>
      <c r="K525" s="51"/>
    </row>
    <row r="526">
      <c r="B526" s="38"/>
      <c r="C526" s="38"/>
      <c r="D526" s="38"/>
      <c r="E526" s="38"/>
      <c r="K526" s="51"/>
    </row>
    <row r="527">
      <c r="B527" s="38"/>
      <c r="C527" s="38"/>
      <c r="D527" s="38"/>
      <c r="E527" s="38"/>
      <c r="K527" s="51"/>
    </row>
    <row r="528">
      <c r="B528" s="38"/>
      <c r="C528" s="38"/>
      <c r="D528" s="38"/>
      <c r="E528" s="38"/>
      <c r="K528" s="51"/>
    </row>
    <row r="529">
      <c r="B529" s="38"/>
      <c r="C529" s="38"/>
      <c r="D529" s="38"/>
      <c r="E529" s="38"/>
      <c r="K529" s="51"/>
    </row>
    <row r="530">
      <c r="B530" s="38"/>
      <c r="C530" s="38"/>
      <c r="D530" s="38"/>
      <c r="E530" s="38"/>
      <c r="K530" s="51"/>
    </row>
    <row r="531">
      <c r="B531" s="38"/>
      <c r="C531" s="38"/>
      <c r="D531" s="38"/>
      <c r="E531" s="38"/>
      <c r="K531" s="51"/>
    </row>
    <row r="532">
      <c r="B532" s="38"/>
      <c r="C532" s="38"/>
      <c r="D532" s="38"/>
      <c r="E532" s="38"/>
      <c r="K532" s="51"/>
    </row>
    <row r="533">
      <c r="B533" s="38"/>
      <c r="C533" s="38"/>
      <c r="D533" s="38"/>
      <c r="E533" s="38"/>
      <c r="K533" s="51"/>
    </row>
    <row r="534">
      <c r="B534" s="38"/>
      <c r="C534" s="38"/>
      <c r="D534" s="38"/>
      <c r="E534" s="38"/>
      <c r="K534" s="51"/>
    </row>
    <row r="535">
      <c r="B535" s="38"/>
      <c r="C535" s="38"/>
      <c r="D535" s="38"/>
      <c r="E535" s="38"/>
      <c r="K535" s="51"/>
    </row>
    <row r="536">
      <c r="B536" s="38"/>
      <c r="C536" s="38"/>
      <c r="D536" s="38"/>
      <c r="E536" s="38"/>
      <c r="K536" s="51"/>
    </row>
    <row r="537">
      <c r="B537" s="38"/>
      <c r="C537" s="38"/>
      <c r="D537" s="38"/>
      <c r="E537" s="38"/>
      <c r="K537" s="51"/>
    </row>
    <row r="538">
      <c r="B538" s="38"/>
      <c r="C538" s="38"/>
      <c r="D538" s="38"/>
      <c r="E538" s="38"/>
      <c r="K538" s="51"/>
    </row>
    <row r="539">
      <c r="B539" s="38"/>
      <c r="C539" s="38"/>
      <c r="D539" s="38"/>
      <c r="E539" s="38"/>
      <c r="K539" s="51"/>
    </row>
    <row r="540">
      <c r="B540" s="38"/>
      <c r="C540" s="38"/>
      <c r="D540" s="38"/>
      <c r="E540" s="38"/>
      <c r="K540" s="51"/>
    </row>
    <row r="541">
      <c r="B541" s="38"/>
      <c r="C541" s="38"/>
      <c r="D541" s="38"/>
      <c r="E541" s="38"/>
      <c r="K541" s="51"/>
    </row>
    <row r="542">
      <c r="B542" s="38"/>
      <c r="C542" s="38"/>
      <c r="D542" s="38"/>
      <c r="E542" s="38"/>
      <c r="K542" s="51"/>
    </row>
    <row r="543">
      <c r="B543" s="38"/>
      <c r="C543" s="38"/>
      <c r="D543" s="38"/>
      <c r="E543" s="38"/>
      <c r="K543" s="51"/>
    </row>
    <row r="544">
      <c r="B544" s="38"/>
      <c r="C544" s="38"/>
      <c r="D544" s="38"/>
      <c r="E544" s="38"/>
      <c r="K544" s="51"/>
    </row>
    <row r="545">
      <c r="B545" s="38"/>
      <c r="C545" s="38"/>
      <c r="D545" s="38"/>
      <c r="E545" s="38"/>
      <c r="K545" s="51"/>
    </row>
    <row r="546">
      <c r="B546" s="38"/>
      <c r="C546" s="38"/>
      <c r="D546" s="38"/>
      <c r="E546" s="38"/>
      <c r="K546" s="51"/>
    </row>
    <row r="547">
      <c r="B547" s="38"/>
      <c r="C547" s="38"/>
      <c r="D547" s="38"/>
      <c r="E547" s="38"/>
      <c r="K547" s="51"/>
    </row>
    <row r="548">
      <c r="B548" s="38"/>
      <c r="C548" s="38"/>
      <c r="D548" s="38"/>
      <c r="E548" s="38"/>
      <c r="K548" s="51"/>
    </row>
    <row r="549">
      <c r="B549" s="38"/>
      <c r="C549" s="38"/>
      <c r="D549" s="38"/>
      <c r="E549" s="38"/>
      <c r="K549" s="51"/>
    </row>
    <row r="550">
      <c r="B550" s="38"/>
      <c r="C550" s="38"/>
      <c r="D550" s="38"/>
      <c r="E550" s="38"/>
      <c r="K550" s="51"/>
    </row>
    <row r="551">
      <c r="B551" s="38"/>
      <c r="C551" s="38"/>
      <c r="D551" s="38"/>
      <c r="E551" s="38"/>
      <c r="K551" s="51"/>
    </row>
    <row r="552">
      <c r="B552" s="38"/>
      <c r="C552" s="38"/>
      <c r="D552" s="38"/>
      <c r="E552" s="38"/>
      <c r="K552" s="51"/>
    </row>
    <row r="553">
      <c r="B553" s="38"/>
      <c r="C553" s="38"/>
      <c r="D553" s="38"/>
      <c r="E553" s="38"/>
      <c r="K553" s="51"/>
    </row>
    <row r="554">
      <c r="B554" s="38"/>
      <c r="C554" s="38"/>
      <c r="D554" s="38"/>
      <c r="E554" s="38"/>
      <c r="K554" s="51"/>
    </row>
    <row r="555">
      <c r="B555" s="38"/>
      <c r="C555" s="38"/>
      <c r="D555" s="38"/>
      <c r="E555" s="38"/>
      <c r="K555" s="51"/>
    </row>
    <row r="556">
      <c r="B556" s="38"/>
      <c r="C556" s="38"/>
      <c r="D556" s="38"/>
      <c r="E556" s="38"/>
      <c r="K556" s="51"/>
    </row>
    <row r="557">
      <c r="B557" s="38"/>
      <c r="C557" s="38"/>
      <c r="D557" s="38"/>
      <c r="E557" s="38"/>
      <c r="K557" s="51"/>
    </row>
    <row r="558">
      <c r="B558" s="38"/>
      <c r="C558" s="38"/>
      <c r="D558" s="38"/>
      <c r="E558" s="38"/>
      <c r="K558" s="51"/>
    </row>
    <row r="559">
      <c r="B559" s="38"/>
      <c r="C559" s="38"/>
      <c r="D559" s="38"/>
      <c r="E559" s="38"/>
      <c r="K559" s="51"/>
    </row>
    <row r="560">
      <c r="B560" s="38"/>
      <c r="C560" s="38"/>
      <c r="D560" s="38"/>
      <c r="E560" s="38"/>
      <c r="K560" s="51"/>
    </row>
    <row r="561">
      <c r="B561" s="38"/>
      <c r="C561" s="38"/>
      <c r="D561" s="38"/>
      <c r="E561" s="38"/>
      <c r="K561" s="51"/>
    </row>
    <row r="562">
      <c r="B562" s="38"/>
      <c r="C562" s="38"/>
      <c r="D562" s="38"/>
      <c r="E562" s="38"/>
      <c r="K562" s="51"/>
    </row>
    <row r="563">
      <c r="B563" s="38"/>
      <c r="C563" s="38"/>
      <c r="D563" s="38"/>
      <c r="E563" s="38"/>
      <c r="K563" s="51"/>
    </row>
    <row r="564">
      <c r="B564" s="38"/>
      <c r="C564" s="38"/>
      <c r="D564" s="38"/>
      <c r="E564" s="38"/>
      <c r="K564" s="51"/>
    </row>
    <row r="565">
      <c r="B565" s="38"/>
      <c r="C565" s="38"/>
      <c r="D565" s="38"/>
      <c r="E565" s="38"/>
      <c r="K565" s="51"/>
    </row>
    <row r="566">
      <c r="B566" s="38"/>
      <c r="C566" s="38"/>
      <c r="D566" s="38"/>
      <c r="E566" s="38"/>
      <c r="K566" s="51"/>
    </row>
    <row r="567">
      <c r="B567" s="38"/>
      <c r="C567" s="38"/>
      <c r="D567" s="38"/>
      <c r="E567" s="38"/>
      <c r="K567" s="51"/>
    </row>
    <row r="568">
      <c r="B568" s="38"/>
      <c r="C568" s="38"/>
      <c r="D568" s="38"/>
      <c r="E568" s="38"/>
      <c r="K568" s="51"/>
    </row>
    <row r="569">
      <c r="B569" s="38"/>
      <c r="C569" s="38"/>
      <c r="D569" s="38"/>
      <c r="E569" s="38"/>
      <c r="K569" s="51"/>
    </row>
    <row r="570">
      <c r="B570" s="38"/>
      <c r="C570" s="38"/>
      <c r="D570" s="38"/>
      <c r="E570" s="38"/>
      <c r="K570" s="51"/>
    </row>
    <row r="571">
      <c r="B571" s="38"/>
      <c r="C571" s="38"/>
      <c r="D571" s="38"/>
      <c r="E571" s="38"/>
      <c r="K571" s="51"/>
    </row>
    <row r="572">
      <c r="B572" s="38"/>
      <c r="C572" s="38"/>
      <c r="D572" s="38"/>
      <c r="E572" s="38"/>
      <c r="K572" s="51"/>
    </row>
    <row r="573">
      <c r="B573" s="38"/>
      <c r="C573" s="38"/>
      <c r="D573" s="38"/>
      <c r="E573" s="38"/>
      <c r="K573" s="51"/>
    </row>
    <row r="574">
      <c r="B574" s="38"/>
      <c r="C574" s="38"/>
      <c r="D574" s="38"/>
      <c r="E574" s="38"/>
      <c r="K574" s="51"/>
    </row>
    <row r="575">
      <c r="B575" s="38"/>
      <c r="C575" s="38"/>
      <c r="D575" s="38"/>
      <c r="E575" s="38"/>
      <c r="K575" s="51"/>
    </row>
    <row r="576">
      <c r="B576" s="38"/>
      <c r="C576" s="38"/>
      <c r="D576" s="38"/>
      <c r="E576" s="38"/>
      <c r="K576" s="51"/>
    </row>
    <row r="577">
      <c r="B577" s="38"/>
      <c r="C577" s="38"/>
      <c r="D577" s="38"/>
      <c r="E577" s="38"/>
      <c r="K577" s="51"/>
    </row>
    <row r="578">
      <c r="B578" s="38"/>
      <c r="C578" s="38"/>
      <c r="D578" s="38"/>
      <c r="E578" s="38"/>
      <c r="K578" s="51"/>
    </row>
    <row r="579">
      <c r="B579" s="38"/>
      <c r="C579" s="38"/>
      <c r="D579" s="38"/>
      <c r="E579" s="38"/>
      <c r="K579" s="51"/>
    </row>
    <row r="580">
      <c r="B580" s="38"/>
      <c r="C580" s="38"/>
      <c r="D580" s="38"/>
      <c r="E580" s="38"/>
      <c r="K580" s="51"/>
    </row>
    <row r="581">
      <c r="B581" s="38"/>
      <c r="C581" s="38"/>
      <c r="D581" s="38"/>
      <c r="E581" s="38"/>
      <c r="K581" s="51"/>
    </row>
    <row r="582">
      <c r="B582" s="38"/>
      <c r="C582" s="38"/>
      <c r="D582" s="38"/>
      <c r="E582" s="38"/>
      <c r="K582" s="51"/>
    </row>
    <row r="583">
      <c r="B583" s="38"/>
      <c r="C583" s="38"/>
      <c r="D583" s="38"/>
      <c r="E583" s="38"/>
      <c r="K583" s="51"/>
    </row>
    <row r="584">
      <c r="B584" s="38"/>
      <c r="C584" s="38"/>
      <c r="D584" s="38"/>
      <c r="E584" s="38"/>
      <c r="K584" s="51"/>
    </row>
    <row r="585">
      <c r="B585" s="38"/>
      <c r="C585" s="38"/>
      <c r="D585" s="38"/>
      <c r="E585" s="38"/>
      <c r="K585" s="51"/>
    </row>
    <row r="586">
      <c r="B586" s="38"/>
      <c r="C586" s="38"/>
      <c r="D586" s="38"/>
      <c r="E586" s="38"/>
      <c r="K586" s="51"/>
    </row>
    <row r="587">
      <c r="B587" s="38"/>
      <c r="C587" s="38"/>
      <c r="D587" s="38"/>
      <c r="E587" s="38"/>
      <c r="K587" s="51"/>
    </row>
    <row r="588">
      <c r="B588" s="38"/>
      <c r="C588" s="38"/>
      <c r="D588" s="38"/>
      <c r="E588" s="38"/>
      <c r="K588" s="51"/>
    </row>
    <row r="589">
      <c r="B589" s="38"/>
      <c r="C589" s="38"/>
      <c r="D589" s="38"/>
      <c r="E589" s="38"/>
      <c r="K589" s="51"/>
    </row>
    <row r="590">
      <c r="B590" s="38"/>
      <c r="C590" s="38"/>
      <c r="D590" s="38"/>
      <c r="E590" s="38"/>
      <c r="K590" s="51"/>
    </row>
    <row r="591">
      <c r="B591" s="38"/>
      <c r="C591" s="38"/>
      <c r="D591" s="38"/>
      <c r="E591" s="38"/>
      <c r="K591" s="51"/>
    </row>
    <row r="592">
      <c r="B592" s="38"/>
      <c r="C592" s="38"/>
      <c r="D592" s="38"/>
      <c r="E592" s="38"/>
      <c r="K592" s="51"/>
    </row>
    <row r="593">
      <c r="B593" s="38"/>
      <c r="C593" s="38"/>
      <c r="D593" s="38"/>
      <c r="E593" s="38"/>
      <c r="K593" s="51"/>
    </row>
    <row r="594">
      <c r="B594" s="38"/>
      <c r="C594" s="38"/>
      <c r="D594" s="38"/>
      <c r="E594" s="38"/>
      <c r="K594" s="51"/>
    </row>
    <row r="595">
      <c r="B595" s="38"/>
      <c r="C595" s="38"/>
      <c r="D595" s="38"/>
      <c r="E595" s="38"/>
      <c r="K595" s="51"/>
    </row>
    <row r="596">
      <c r="B596" s="38"/>
      <c r="C596" s="38"/>
      <c r="D596" s="38"/>
      <c r="E596" s="38"/>
      <c r="K596" s="51"/>
    </row>
    <row r="597">
      <c r="B597" s="38"/>
      <c r="C597" s="38"/>
      <c r="D597" s="38"/>
      <c r="E597" s="38"/>
      <c r="K597" s="51"/>
    </row>
    <row r="598">
      <c r="B598" s="38"/>
      <c r="C598" s="38"/>
      <c r="D598" s="38"/>
      <c r="E598" s="38"/>
      <c r="K598" s="51"/>
    </row>
    <row r="599">
      <c r="B599" s="38"/>
      <c r="C599" s="38"/>
      <c r="D599" s="38"/>
      <c r="E599" s="38"/>
      <c r="K599" s="51"/>
    </row>
    <row r="600">
      <c r="B600" s="38"/>
      <c r="C600" s="38"/>
      <c r="D600" s="38"/>
      <c r="E600" s="38"/>
      <c r="K600" s="51"/>
    </row>
    <row r="601">
      <c r="B601" s="38"/>
      <c r="C601" s="38"/>
      <c r="D601" s="38"/>
      <c r="E601" s="38"/>
      <c r="K601" s="51"/>
    </row>
    <row r="602">
      <c r="B602" s="38"/>
      <c r="C602" s="38"/>
      <c r="D602" s="38"/>
      <c r="E602" s="38"/>
      <c r="K602" s="51"/>
    </row>
    <row r="603">
      <c r="B603" s="38"/>
      <c r="C603" s="38"/>
      <c r="D603" s="38"/>
      <c r="E603" s="38"/>
      <c r="K603" s="51"/>
    </row>
    <row r="604">
      <c r="B604" s="38"/>
      <c r="C604" s="38"/>
      <c r="D604" s="38"/>
      <c r="E604" s="38"/>
      <c r="K604" s="51"/>
    </row>
    <row r="605">
      <c r="B605" s="38"/>
      <c r="C605" s="38"/>
      <c r="D605" s="38"/>
      <c r="E605" s="38"/>
      <c r="K605" s="51"/>
    </row>
    <row r="606">
      <c r="B606" s="38"/>
      <c r="C606" s="38"/>
      <c r="D606" s="38"/>
      <c r="E606" s="38"/>
      <c r="K606" s="51"/>
    </row>
    <row r="607">
      <c r="B607" s="38"/>
      <c r="C607" s="38"/>
      <c r="D607" s="38"/>
      <c r="E607" s="38"/>
      <c r="K607" s="51"/>
    </row>
    <row r="608">
      <c r="B608" s="38"/>
      <c r="C608" s="38"/>
      <c r="D608" s="38"/>
      <c r="E608" s="38"/>
      <c r="K608" s="51"/>
    </row>
    <row r="609">
      <c r="B609" s="38"/>
      <c r="C609" s="38"/>
      <c r="D609" s="38"/>
      <c r="E609" s="38"/>
      <c r="K609" s="51"/>
    </row>
    <row r="610">
      <c r="B610" s="38"/>
      <c r="C610" s="38"/>
      <c r="D610" s="38"/>
      <c r="E610" s="38"/>
      <c r="K610" s="51"/>
    </row>
    <row r="611">
      <c r="B611" s="38"/>
      <c r="C611" s="38"/>
      <c r="D611" s="38"/>
      <c r="E611" s="38"/>
      <c r="K611" s="51"/>
    </row>
    <row r="612">
      <c r="B612" s="38"/>
      <c r="C612" s="38"/>
      <c r="D612" s="38"/>
      <c r="E612" s="38"/>
      <c r="K612" s="51"/>
    </row>
    <row r="613">
      <c r="B613" s="38"/>
      <c r="C613" s="38"/>
      <c r="D613" s="38"/>
      <c r="E613" s="38"/>
      <c r="K613" s="51"/>
    </row>
    <row r="614">
      <c r="B614" s="38"/>
      <c r="C614" s="38"/>
      <c r="D614" s="38"/>
      <c r="E614" s="38"/>
      <c r="K614" s="51"/>
    </row>
    <row r="615">
      <c r="B615" s="38"/>
      <c r="C615" s="38"/>
      <c r="D615" s="38"/>
      <c r="E615" s="38"/>
      <c r="K615" s="51"/>
    </row>
    <row r="616">
      <c r="B616" s="38"/>
      <c r="C616" s="38"/>
      <c r="D616" s="38"/>
      <c r="E616" s="38"/>
      <c r="K616" s="51"/>
    </row>
    <row r="617">
      <c r="B617" s="38"/>
      <c r="C617" s="38"/>
      <c r="D617" s="38"/>
      <c r="E617" s="38"/>
      <c r="K617" s="51"/>
    </row>
    <row r="618">
      <c r="B618" s="38"/>
      <c r="C618" s="38"/>
      <c r="D618" s="38"/>
      <c r="E618" s="38"/>
      <c r="K618" s="51"/>
    </row>
    <row r="619">
      <c r="B619" s="38"/>
      <c r="C619" s="38"/>
      <c r="D619" s="38"/>
      <c r="E619" s="38"/>
      <c r="K619" s="51"/>
    </row>
    <row r="620">
      <c r="B620" s="38"/>
      <c r="C620" s="38"/>
      <c r="D620" s="38"/>
      <c r="E620" s="38"/>
      <c r="K620" s="51"/>
    </row>
    <row r="621">
      <c r="B621" s="38"/>
      <c r="C621" s="38"/>
      <c r="D621" s="38"/>
      <c r="E621" s="38"/>
      <c r="K621" s="51"/>
    </row>
    <row r="622">
      <c r="B622" s="38"/>
      <c r="C622" s="38"/>
      <c r="D622" s="38"/>
      <c r="E622" s="38"/>
      <c r="K622" s="51"/>
    </row>
    <row r="623">
      <c r="B623" s="38"/>
      <c r="C623" s="38"/>
      <c r="D623" s="38"/>
      <c r="E623" s="38"/>
      <c r="K623" s="51"/>
    </row>
    <row r="624">
      <c r="B624" s="38"/>
      <c r="C624" s="38"/>
      <c r="D624" s="38"/>
      <c r="E624" s="38"/>
      <c r="K624" s="51"/>
    </row>
    <row r="625">
      <c r="B625" s="38"/>
      <c r="C625" s="38"/>
      <c r="D625" s="38"/>
      <c r="E625" s="38"/>
      <c r="K625" s="51"/>
    </row>
    <row r="626">
      <c r="B626" s="38"/>
      <c r="C626" s="38"/>
      <c r="D626" s="38"/>
      <c r="E626" s="38"/>
      <c r="K626" s="51"/>
    </row>
    <row r="627">
      <c r="B627" s="38"/>
      <c r="C627" s="38"/>
      <c r="D627" s="38"/>
      <c r="E627" s="38"/>
      <c r="K627" s="51"/>
    </row>
    <row r="628">
      <c r="B628" s="38"/>
      <c r="C628" s="38"/>
      <c r="D628" s="38"/>
      <c r="E628" s="38"/>
      <c r="K628" s="51"/>
    </row>
    <row r="629">
      <c r="B629" s="38"/>
      <c r="C629" s="38"/>
      <c r="D629" s="38"/>
      <c r="E629" s="38"/>
      <c r="K629" s="51"/>
    </row>
    <row r="630">
      <c r="B630" s="38"/>
      <c r="C630" s="38"/>
      <c r="D630" s="38"/>
      <c r="E630" s="38"/>
      <c r="K630" s="51"/>
    </row>
    <row r="631">
      <c r="B631" s="38"/>
      <c r="C631" s="38"/>
      <c r="D631" s="38"/>
      <c r="E631" s="38"/>
      <c r="K631" s="51"/>
    </row>
    <row r="632">
      <c r="B632" s="38"/>
      <c r="C632" s="38"/>
      <c r="D632" s="38"/>
      <c r="E632" s="38"/>
      <c r="K632" s="51"/>
    </row>
    <row r="633">
      <c r="B633" s="38"/>
      <c r="C633" s="38"/>
      <c r="D633" s="38"/>
      <c r="E633" s="38"/>
      <c r="K633" s="51"/>
    </row>
    <row r="634">
      <c r="B634" s="38"/>
      <c r="C634" s="38"/>
      <c r="D634" s="38"/>
      <c r="E634" s="38"/>
      <c r="K634" s="51"/>
    </row>
    <row r="635">
      <c r="B635" s="38"/>
      <c r="C635" s="38"/>
      <c r="D635" s="38"/>
      <c r="E635" s="38"/>
      <c r="K635" s="51"/>
    </row>
    <row r="636">
      <c r="B636" s="38"/>
      <c r="C636" s="38"/>
      <c r="D636" s="38"/>
      <c r="E636" s="38"/>
      <c r="K636" s="51"/>
    </row>
    <row r="637">
      <c r="B637" s="38"/>
      <c r="C637" s="38"/>
      <c r="D637" s="38"/>
      <c r="E637" s="38"/>
      <c r="K637" s="51"/>
    </row>
    <row r="638">
      <c r="B638" s="38"/>
      <c r="C638" s="38"/>
      <c r="D638" s="38"/>
      <c r="E638" s="38"/>
      <c r="K638" s="51"/>
    </row>
    <row r="639">
      <c r="B639" s="38"/>
      <c r="C639" s="38"/>
      <c r="D639" s="38"/>
      <c r="E639" s="38"/>
      <c r="K639" s="51"/>
    </row>
    <row r="640">
      <c r="B640" s="38"/>
      <c r="C640" s="38"/>
      <c r="D640" s="38"/>
      <c r="E640" s="38"/>
      <c r="K640" s="51"/>
    </row>
    <row r="641">
      <c r="B641" s="38"/>
      <c r="C641" s="38"/>
      <c r="D641" s="38"/>
      <c r="E641" s="38"/>
      <c r="K641" s="51"/>
    </row>
    <row r="642">
      <c r="B642" s="38"/>
      <c r="C642" s="38"/>
      <c r="D642" s="38"/>
      <c r="E642" s="38"/>
      <c r="K642" s="51"/>
    </row>
    <row r="643">
      <c r="B643" s="38"/>
      <c r="C643" s="38"/>
      <c r="D643" s="38"/>
      <c r="E643" s="38"/>
      <c r="K643" s="51"/>
    </row>
    <row r="644">
      <c r="B644" s="38"/>
      <c r="C644" s="38"/>
      <c r="D644" s="38"/>
      <c r="E644" s="38"/>
      <c r="K644" s="51"/>
    </row>
    <row r="645">
      <c r="B645" s="38"/>
      <c r="C645" s="38"/>
      <c r="D645" s="38"/>
      <c r="E645" s="38"/>
      <c r="K645" s="51"/>
    </row>
    <row r="646">
      <c r="B646" s="38"/>
      <c r="C646" s="38"/>
      <c r="D646" s="38"/>
      <c r="E646" s="38"/>
      <c r="K646" s="51"/>
    </row>
    <row r="647">
      <c r="B647" s="38"/>
      <c r="C647" s="38"/>
      <c r="D647" s="38"/>
      <c r="E647" s="38"/>
      <c r="K647" s="51"/>
    </row>
    <row r="648">
      <c r="B648" s="38"/>
      <c r="C648" s="38"/>
      <c r="D648" s="38"/>
      <c r="E648" s="38"/>
      <c r="K648" s="51"/>
    </row>
    <row r="649">
      <c r="B649" s="38"/>
      <c r="C649" s="38"/>
      <c r="D649" s="38"/>
      <c r="E649" s="38"/>
      <c r="K649" s="51"/>
    </row>
    <row r="650">
      <c r="B650" s="38"/>
      <c r="C650" s="38"/>
      <c r="D650" s="38"/>
      <c r="E650" s="38"/>
      <c r="K650" s="51"/>
    </row>
    <row r="651">
      <c r="B651" s="38"/>
      <c r="C651" s="38"/>
      <c r="D651" s="38"/>
      <c r="E651" s="38"/>
      <c r="K651" s="51"/>
    </row>
    <row r="652">
      <c r="B652" s="38"/>
      <c r="C652" s="38"/>
      <c r="D652" s="38"/>
      <c r="E652" s="38"/>
      <c r="K652" s="51"/>
    </row>
    <row r="653">
      <c r="B653" s="38"/>
      <c r="C653" s="38"/>
      <c r="D653" s="38"/>
      <c r="E653" s="38"/>
      <c r="K653" s="51"/>
    </row>
    <row r="654">
      <c r="B654" s="38"/>
      <c r="C654" s="38"/>
      <c r="D654" s="38"/>
      <c r="E654" s="38"/>
      <c r="K654" s="51"/>
    </row>
    <row r="655">
      <c r="B655" s="38"/>
      <c r="C655" s="38"/>
      <c r="D655" s="38"/>
      <c r="E655" s="38"/>
      <c r="K655" s="51"/>
    </row>
    <row r="656">
      <c r="B656" s="38"/>
      <c r="C656" s="38"/>
      <c r="D656" s="38"/>
      <c r="E656" s="38"/>
      <c r="K656" s="51"/>
    </row>
    <row r="657">
      <c r="B657" s="38"/>
      <c r="C657" s="38"/>
      <c r="D657" s="38"/>
      <c r="E657" s="38"/>
      <c r="K657" s="51"/>
    </row>
    <row r="658">
      <c r="B658" s="38"/>
      <c r="C658" s="38"/>
      <c r="D658" s="38"/>
      <c r="E658" s="38"/>
      <c r="K658" s="51"/>
    </row>
    <row r="659">
      <c r="B659" s="38"/>
      <c r="C659" s="38"/>
      <c r="D659" s="38"/>
      <c r="E659" s="38"/>
      <c r="K659" s="51"/>
    </row>
    <row r="660">
      <c r="B660" s="38"/>
      <c r="C660" s="38"/>
      <c r="D660" s="38"/>
      <c r="E660" s="38"/>
      <c r="K660" s="51"/>
    </row>
    <row r="661">
      <c r="B661" s="38"/>
      <c r="C661" s="38"/>
      <c r="D661" s="38"/>
      <c r="E661" s="38"/>
      <c r="K661" s="51"/>
    </row>
    <row r="662">
      <c r="B662" s="38"/>
      <c r="C662" s="38"/>
      <c r="D662" s="38"/>
      <c r="E662" s="38"/>
      <c r="K662" s="51"/>
    </row>
    <row r="663">
      <c r="B663" s="38"/>
      <c r="C663" s="38"/>
      <c r="D663" s="38"/>
      <c r="E663" s="38"/>
      <c r="K663" s="51"/>
    </row>
    <row r="664">
      <c r="B664" s="38"/>
      <c r="C664" s="38"/>
      <c r="D664" s="38"/>
      <c r="E664" s="38"/>
      <c r="K664" s="51"/>
    </row>
    <row r="665">
      <c r="B665" s="38"/>
      <c r="C665" s="38"/>
      <c r="D665" s="38"/>
      <c r="E665" s="38"/>
      <c r="K665" s="51"/>
    </row>
    <row r="666">
      <c r="B666" s="38"/>
      <c r="C666" s="38"/>
      <c r="D666" s="38"/>
      <c r="E666" s="38"/>
      <c r="K666" s="51"/>
    </row>
    <row r="667">
      <c r="B667" s="38"/>
      <c r="C667" s="38"/>
      <c r="D667" s="38"/>
      <c r="E667" s="38"/>
      <c r="K667" s="51"/>
    </row>
    <row r="668">
      <c r="B668" s="38"/>
      <c r="C668" s="38"/>
      <c r="D668" s="38"/>
      <c r="E668" s="38"/>
      <c r="K668" s="51"/>
    </row>
    <row r="669">
      <c r="B669" s="38"/>
      <c r="C669" s="38"/>
      <c r="D669" s="38"/>
      <c r="E669" s="38"/>
      <c r="K669" s="51"/>
    </row>
    <row r="670">
      <c r="B670" s="38"/>
      <c r="C670" s="38"/>
      <c r="D670" s="38"/>
      <c r="E670" s="38"/>
      <c r="K670" s="51"/>
    </row>
    <row r="671">
      <c r="B671" s="38"/>
      <c r="C671" s="38"/>
      <c r="D671" s="38"/>
      <c r="E671" s="38"/>
      <c r="K671" s="51"/>
    </row>
    <row r="672">
      <c r="B672" s="38"/>
      <c r="C672" s="38"/>
      <c r="D672" s="38"/>
      <c r="E672" s="38"/>
      <c r="K672" s="51"/>
    </row>
    <row r="673">
      <c r="B673" s="38"/>
      <c r="C673" s="38"/>
      <c r="D673" s="38"/>
      <c r="E673" s="38"/>
      <c r="K673" s="51"/>
    </row>
    <row r="674">
      <c r="B674" s="38"/>
      <c r="C674" s="38"/>
      <c r="D674" s="38"/>
      <c r="E674" s="38"/>
      <c r="K674" s="51"/>
    </row>
    <row r="675">
      <c r="B675" s="38"/>
      <c r="C675" s="38"/>
      <c r="D675" s="38"/>
      <c r="E675" s="38"/>
      <c r="K675" s="51"/>
    </row>
    <row r="676">
      <c r="B676" s="38"/>
      <c r="C676" s="38"/>
      <c r="D676" s="38"/>
      <c r="E676" s="38"/>
      <c r="K676" s="51"/>
    </row>
    <row r="677">
      <c r="B677" s="38"/>
      <c r="C677" s="38"/>
      <c r="D677" s="38"/>
      <c r="E677" s="38"/>
      <c r="K677" s="51"/>
    </row>
    <row r="678">
      <c r="B678" s="38"/>
      <c r="C678" s="38"/>
      <c r="D678" s="38"/>
      <c r="E678" s="38"/>
      <c r="K678" s="51"/>
    </row>
    <row r="679">
      <c r="B679" s="38"/>
      <c r="C679" s="38"/>
      <c r="D679" s="38"/>
      <c r="E679" s="38"/>
      <c r="K679" s="51"/>
    </row>
    <row r="680">
      <c r="B680" s="38"/>
      <c r="C680" s="38"/>
      <c r="D680" s="38"/>
      <c r="E680" s="38"/>
      <c r="K680" s="51"/>
    </row>
    <row r="681">
      <c r="B681" s="38"/>
      <c r="C681" s="38"/>
      <c r="D681" s="38"/>
      <c r="E681" s="38"/>
      <c r="K681" s="51"/>
    </row>
    <row r="682">
      <c r="B682" s="38"/>
      <c r="C682" s="38"/>
      <c r="D682" s="38"/>
      <c r="E682" s="38"/>
      <c r="K682" s="51"/>
    </row>
    <row r="683">
      <c r="B683" s="38"/>
      <c r="C683" s="38"/>
      <c r="D683" s="38"/>
      <c r="E683" s="38"/>
      <c r="K683" s="51"/>
    </row>
    <row r="684">
      <c r="B684" s="38"/>
      <c r="C684" s="38"/>
      <c r="D684" s="38"/>
      <c r="E684" s="38"/>
      <c r="K684" s="51"/>
    </row>
    <row r="685">
      <c r="B685" s="38"/>
      <c r="C685" s="38"/>
      <c r="D685" s="38"/>
      <c r="E685" s="38"/>
      <c r="K685" s="51"/>
    </row>
    <row r="686">
      <c r="B686" s="38"/>
      <c r="C686" s="38"/>
      <c r="D686" s="38"/>
      <c r="E686" s="38"/>
      <c r="K686" s="51"/>
    </row>
    <row r="687">
      <c r="B687" s="38"/>
      <c r="C687" s="38"/>
      <c r="D687" s="38"/>
      <c r="E687" s="38"/>
      <c r="K687" s="51"/>
    </row>
    <row r="688">
      <c r="B688" s="38"/>
      <c r="C688" s="38"/>
      <c r="D688" s="38"/>
      <c r="E688" s="38"/>
      <c r="K688" s="51"/>
    </row>
    <row r="689">
      <c r="B689" s="38"/>
      <c r="C689" s="38"/>
      <c r="D689" s="38"/>
      <c r="E689" s="38"/>
      <c r="K689" s="51"/>
    </row>
    <row r="690">
      <c r="B690" s="38"/>
      <c r="C690" s="38"/>
      <c r="D690" s="38"/>
      <c r="E690" s="38"/>
      <c r="K690" s="51"/>
    </row>
    <row r="691">
      <c r="B691" s="38"/>
      <c r="C691" s="38"/>
      <c r="D691" s="38"/>
      <c r="E691" s="38"/>
      <c r="K691" s="51"/>
    </row>
    <row r="692">
      <c r="B692" s="38"/>
      <c r="C692" s="38"/>
      <c r="D692" s="38"/>
      <c r="E692" s="38"/>
      <c r="K692" s="51"/>
    </row>
    <row r="693">
      <c r="B693" s="38"/>
      <c r="C693" s="38"/>
      <c r="D693" s="38"/>
      <c r="E693" s="38"/>
      <c r="K693" s="51"/>
    </row>
    <row r="694">
      <c r="B694" s="38"/>
      <c r="C694" s="38"/>
      <c r="D694" s="38"/>
      <c r="E694" s="38"/>
      <c r="K694" s="51"/>
    </row>
    <row r="695">
      <c r="B695" s="38"/>
      <c r="C695" s="38"/>
      <c r="D695" s="38"/>
      <c r="E695" s="38"/>
      <c r="K695" s="51"/>
    </row>
    <row r="696">
      <c r="B696" s="38"/>
      <c r="C696" s="38"/>
      <c r="D696" s="38"/>
      <c r="E696" s="38"/>
      <c r="K696" s="51"/>
    </row>
    <row r="697">
      <c r="B697" s="38"/>
      <c r="C697" s="38"/>
      <c r="D697" s="38"/>
      <c r="E697" s="38"/>
      <c r="K697" s="51"/>
    </row>
    <row r="698">
      <c r="B698" s="38"/>
      <c r="C698" s="38"/>
      <c r="D698" s="38"/>
      <c r="E698" s="38"/>
      <c r="K698" s="51"/>
    </row>
    <row r="699">
      <c r="B699" s="38"/>
      <c r="C699" s="38"/>
      <c r="D699" s="38"/>
      <c r="E699" s="38"/>
      <c r="K699" s="51"/>
    </row>
    <row r="700">
      <c r="B700" s="38"/>
      <c r="C700" s="38"/>
      <c r="D700" s="38"/>
      <c r="E700" s="38"/>
      <c r="K700" s="51"/>
    </row>
    <row r="701">
      <c r="B701" s="38"/>
      <c r="C701" s="38"/>
      <c r="D701" s="38"/>
      <c r="E701" s="38"/>
      <c r="K701" s="51"/>
    </row>
    <row r="702">
      <c r="B702" s="38"/>
      <c r="C702" s="38"/>
      <c r="D702" s="38"/>
      <c r="E702" s="38"/>
      <c r="K702" s="51"/>
    </row>
    <row r="703">
      <c r="B703" s="38"/>
      <c r="C703" s="38"/>
      <c r="D703" s="38"/>
      <c r="E703" s="38"/>
      <c r="K703" s="51"/>
    </row>
    <row r="704">
      <c r="B704" s="38"/>
      <c r="C704" s="38"/>
      <c r="D704" s="38"/>
      <c r="E704" s="38"/>
      <c r="K704" s="51"/>
    </row>
    <row r="705">
      <c r="B705" s="38"/>
      <c r="C705" s="38"/>
      <c r="D705" s="38"/>
      <c r="E705" s="38"/>
      <c r="K705" s="51"/>
    </row>
    <row r="706">
      <c r="B706" s="38"/>
      <c r="C706" s="38"/>
      <c r="D706" s="38"/>
      <c r="E706" s="38"/>
      <c r="K706" s="51"/>
    </row>
    <row r="707">
      <c r="B707" s="38"/>
      <c r="C707" s="38"/>
      <c r="D707" s="38"/>
      <c r="E707" s="38"/>
      <c r="K707" s="51"/>
    </row>
    <row r="708">
      <c r="B708" s="38"/>
      <c r="C708" s="38"/>
      <c r="D708" s="38"/>
      <c r="E708" s="38"/>
      <c r="K708" s="51"/>
    </row>
    <row r="709">
      <c r="B709" s="38"/>
      <c r="C709" s="38"/>
      <c r="D709" s="38"/>
      <c r="E709" s="38"/>
      <c r="K709" s="51"/>
    </row>
    <row r="710">
      <c r="B710" s="38"/>
      <c r="C710" s="38"/>
      <c r="D710" s="38"/>
      <c r="E710" s="38"/>
      <c r="K710" s="51"/>
    </row>
    <row r="711">
      <c r="B711" s="38"/>
      <c r="C711" s="38"/>
      <c r="D711" s="38"/>
      <c r="E711" s="38"/>
      <c r="K711" s="51"/>
    </row>
    <row r="712">
      <c r="B712" s="38"/>
      <c r="C712" s="38"/>
      <c r="D712" s="38"/>
      <c r="E712" s="38"/>
      <c r="K712" s="51"/>
    </row>
    <row r="713">
      <c r="B713" s="38"/>
      <c r="C713" s="38"/>
      <c r="D713" s="38"/>
      <c r="E713" s="38"/>
      <c r="K713" s="51"/>
    </row>
    <row r="714">
      <c r="B714" s="38"/>
      <c r="C714" s="38"/>
      <c r="D714" s="38"/>
      <c r="E714" s="38"/>
      <c r="K714" s="51"/>
    </row>
    <row r="715">
      <c r="B715" s="38"/>
      <c r="C715" s="38"/>
      <c r="D715" s="38"/>
      <c r="E715" s="38"/>
      <c r="K715" s="51"/>
    </row>
    <row r="716">
      <c r="B716" s="38"/>
      <c r="C716" s="38"/>
      <c r="D716" s="38"/>
      <c r="E716" s="38"/>
      <c r="K716" s="51"/>
    </row>
    <row r="717">
      <c r="B717" s="38"/>
      <c r="C717" s="38"/>
      <c r="D717" s="38"/>
      <c r="E717" s="38"/>
      <c r="K717" s="51"/>
    </row>
    <row r="718">
      <c r="B718" s="38"/>
      <c r="C718" s="38"/>
      <c r="D718" s="38"/>
      <c r="E718" s="38"/>
      <c r="K718" s="51"/>
    </row>
    <row r="719">
      <c r="B719" s="38"/>
      <c r="C719" s="38"/>
      <c r="D719" s="38"/>
      <c r="E719" s="38"/>
      <c r="K719" s="51"/>
    </row>
    <row r="720">
      <c r="B720" s="38"/>
      <c r="C720" s="38"/>
      <c r="D720" s="38"/>
      <c r="E720" s="38"/>
      <c r="K720" s="51"/>
    </row>
    <row r="721">
      <c r="B721" s="38"/>
      <c r="C721" s="38"/>
      <c r="D721" s="38"/>
      <c r="E721" s="38"/>
      <c r="K721" s="51"/>
    </row>
    <row r="722">
      <c r="B722" s="38"/>
      <c r="C722" s="38"/>
      <c r="D722" s="38"/>
      <c r="E722" s="38"/>
      <c r="K722" s="51"/>
    </row>
    <row r="723">
      <c r="B723" s="38"/>
      <c r="C723" s="38"/>
      <c r="D723" s="38"/>
      <c r="E723" s="38"/>
      <c r="K723" s="51"/>
    </row>
    <row r="724">
      <c r="B724" s="38"/>
      <c r="C724" s="38"/>
      <c r="D724" s="38"/>
      <c r="E724" s="38"/>
      <c r="K724" s="51"/>
    </row>
    <row r="725">
      <c r="B725" s="38"/>
      <c r="C725" s="38"/>
      <c r="D725" s="38"/>
      <c r="E725" s="38"/>
      <c r="K725" s="51"/>
    </row>
    <row r="726">
      <c r="B726" s="38"/>
      <c r="C726" s="38"/>
      <c r="D726" s="38"/>
      <c r="E726" s="38"/>
      <c r="K726" s="51"/>
    </row>
    <row r="727">
      <c r="B727" s="38"/>
      <c r="C727" s="38"/>
      <c r="D727" s="38"/>
      <c r="E727" s="38"/>
      <c r="K727" s="51"/>
    </row>
    <row r="728">
      <c r="B728" s="38"/>
      <c r="C728" s="38"/>
      <c r="D728" s="38"/>
      <c r="E728" s="38"/>
      <c r="K728" s="51"/>
    </row>
    <row r="729">
      <c r="B729" s="38"/>
      <c r="C729" s="38"/>
      <c r="D729" s="38"/>
      <c r="E729" s="38"/>
      <c r="K729" s="51"/>
    </row>
    <row r="730">
      <c r="B730" s="38"/>
      <c r="C730" s="38"/>
      <c r="D730" s="38"/>
      <c r="E730" s="38"/>
      <c r="K730" s="51"/>
    </row>
    <row r="731">
      <c r="B731" s="38"/>
      <c r="C731" s="38"/>
      <c r="D731" s="38"/>
      <c r="E731" s="38"/>
      <c r="K731" s="51"/>
    </row>
    <row r="732">
      <c r="B732" s="38"/>
      <c r="C732" s="38"/>
      <c r="D732" s="38"/>
      <c r="E732" s="38"/>
      <c r="K732" s="51"/>
    </row>
    <row r="733">
      <c r="B733" s="38"/>
      <c r="C733" s="38"/>
      <c r="D733" s="38"/>
      <c r="E733" s="38"/>
      <c r="K733" s="51"/>
    </row>
    <row r="734">
      <c r="B734" s="38"/>
      <c r="C734" s="38"/>
      <c r="D734" s="38"/>
      <c r="E734" s="38"/>
      <c r="K734" s="51"/>
    </row>
    <row r="735">
      <c r="B735" s="38"/>
      <c r="C735" s="38"/>
      <c r="D735" s="38"/>
      <c r="E735" s="38"/>
      <c r="K735" s="51"/>
    </row>
    <row r="736">
      <c r="B736" s="38"/>
      <c r="C736" s="38"/>
      <c r="D736" s="38"/>
      <c r="E736" s="38"/>
      <c r="K736" s="51"/>
    </row>
    <row r="737">
      <c r="B737" s="38"/>
      <c r="C737" s="38"/>
      <c r="D737" s="38"/>
      <c r="E737" s="38"/>
      <c r="K737" s="51"/>
    </row>
    <row r="738">
      <c r="B738" s="38"/>
      <c r="C738" s="38"/>
      <c r="D738" s="38"/>
      <c r="E738" s="38"/>
      <c r="K738" s="51"/>
    </row>
    <row r="739">
      <c r="B739" s="38"/>
      <c r="C739" s="38"/>
      <c r="D739" s="38"/>
      <c r="E739" s="38"/>
      <c r="K739" s="51"/>
    </row>
    <row r="740">
      <c r="B740" s="38"/>
      <c r="C740" s="38"/>
      <c r="D740" s="38"/>
      <c r="E740" s="38"/>
      <c r="K740" s="51"/>
    </row>
    <row r="741">
      <c r="B741" s="38"/>
      <c r="C741" s="38"/>
      <c r="D741" s="38"/>
      <c r="E741" s="38"/>
      <c r="K741" s="51"/>
    </row>
    <row r="742">
      <c r="B742" s="38"/>
      <c r="C742" s="38"/>
      <c r="D742" s="38"/>
      <c r="E742" s="38"/>
      <c r="K742" s="51"/>
    </row>
    <row r="743">
      <c r="B743" s="38"/>
      <c r="C743" s="38"/>
      <c r="D743" s="38"/>
      <c r="E743" s="38"/>
      <c r="K743" s="51"/>
    </row>
    <row r="744">
      <c r="B744" s="38"/>
      <c r="C744" s="38"/>
      <c r="D744" s="38"/>
      <c r="E744" s="38"/>
      <c r="K744" s="51"/>
    </row>
    <row r="745">
      <c r="B745" s="38"/>
      <c r="C745" s="38"/>
      <c r="D745" s="38"/>
      <c r="E745" s="38"/>
      <c r="K745" s="51"/>
    </row>
    <row r="746">
      <c r="B746" s="38"/>
      <c r="C746" s="38"/>
      <c r="D746" s="38"/>
      <c r="E746" s="38"/>
      <c r="K746" s="51"/>
    </row>
    <row r="747">
      <c r="B747" s="38"/>
      <c r="C747" s="38"/>
      <c r="D747" s="38"/>
      <c r="E747" s="38"/>
      <c r="K747" s="51"/>
    </row>
    <row r="748">
      <c r="B748" s="38"/>
      <c r="C748" s="38"/>
      <c r="D748" s="38"/>
      <c r="E748" s="38"/>
      <c r="K748" s="51"/>
    </row>
    <row r="749">
      <c r="B749" s="38"/>
      <c r="C749" s="38"/>
      <c r="D749" s="38"/>
      <c r="E749" s="38"/>
      <c r="K749" s="51"/>
    </row>
    <row r="750">
      <c r="B750" s="38"/>
      <c r="C750" s="38"/>
      <c r="D750" s="38"/>
      <c r="E750" s="38"/>
      <c r="K750" s="51"/>
    </row>
    <row r="751">
      <c r="B751" s="38"/>
      <c r="C751" s="38"/>
      <c r="D751" s="38"/>
      <c r="E751" s="38"/>
      <c r="K751" s="51"/>
    </row>
    <row r="752">
      <c r="B752" s="38"/>
      <c r="C752" s="38"/>
      <c r="D752" s="38"/>
      <c r="E752" s="38"/>
      <c r="K752" s="51"/>
    </row>
    <row r="753">
      <c r="B753" s="38"/>
      <c r="C753" s="38"/>
      <c r="D753" s="38"/>
      <c r="E753" s="38"/>
      <c r="K753" s="51"/>
    </row>
    <row r="754">
      <c r="B754" s="38"/>
      <c r="C754" s="38"/>
      <c r="D754" s="38"/>
      <c r="E754" s="38"/>
      <c r="K754" s="51"/>
    </row>
    <row r="755">
      <c r="B755" s="38"/>
      <c r="C755" s="38"/>
      <c r="D755" s="38"/>
      <c r="E755" s="38"/>
      <c r="K755" s="51"/>
    </row>
    <row r="756">
      <c r="B756" s="38"/>
      <c r="C756" s="38"/>
      <c r="D756" s="38"/>
      <c r="E756" s="38"/>
      <c r="K756" s="51"/>
    </row>
    <row r="757">
      <c r="B757" s="38"/>
      <c r="C757" s="38"/>
      <c r="D757" s="38"/>
      <c r="E757" s="38"/>
      <c r="K757" s="51"/>
    </row>
    <row r="758">
      <c r="B758" s="38"/>
      <c r="C758" s="38"/>
      <c r="D758" s="38"/>
      <c r="E758" s="38"/>
      <c r="K758" s="51"/>
    </row>
    <row r="759">
      <c r="B759" s="38"/>
      <c r="C759" s="38"/>
      <c r="D759" s="38"/>
      <c r="E759" s="38"/>
      <c r="K759" s="51"/>
    </row>
    <row r="760">
      <c r="B760" s="38"/>
      <c r="C760" s="38"/>
      <c r="D760" s="38"/>
      <c r="E760" s="38"/>
      <c r="K760" s="51"/>
    </row>
    <row r="761">
      <c r="B761" s="38"/>
      <c r="C761" s="38"/>
      <c r="D761" s="38"/>
      <c r="E761" s="38"/>
      <c r="K761" s="51"/>
    </row>
    <row r="762">
      <c r="B762" s="38"/>
      <c r="C762" s="38"/>
      <c r="D762" s="38"/>
      <c r="E762" s="38"/>
      <c r="K762" s="51"/>
    </row>
    <row r="763">
      <c r="B763" s="38"/>
      <c r="C763" s="38"/>
      <c r="D763" s="38"/>
      <c r="E763" s="38"/>
      <c r="K763" s="51"/>
    </row>
    <row r="764">
      <c r="B764" s="38"/>
      <c r="C764" s="38"/>
      <c r="D764" s="38"/>
      <c r="E764" s="38"/>
      <c r="K764" s="51"/>
    </row>
    <row r="765">
      <c r="B765" s="38"/>
      <c r="C765" s="38"/>
      <c r="D765" s="38"/>
      <c r="E765" s="38"/>
      <c r="K765" s="51"/>
    </row>
    <row r="766">
      <c r="B766" s="38"/>
      <c r="C766" s="38"/>
      <c r="D766" s="38"/>
      <c r="E766" s="38"/>
      <c r="K766" s="51"/>
    </row>
    <row r="767">
      <c r="B767" s="38"/>
      <c r="C767" s="38"/>
      <c r="D767" s="38"/>
      <c r="E767" s="38"/>
      <c r="K767" s="51"/>
    </row>
    <row r="768">
      <c r="B768" s="38"/>
      <c r="C768" s="38"/>
      <c r="D768" s="38"/>
      <c r="E768" s="38"/>
      <c r="K768" s="51"/>
    </row>
    <row r="769">
      <c r="B769" s="38"/>
      <c r="C769" s="38"/>
      <c r="D769" s="38"/>
      <c r="E769" s="38"/>
      <c r="K769" s="51"/>
    </row>
    <row r="770">
      <c r="B770" s="38"/>
      <c r="C770" s="38"/>
      <c r="D770" s="38"/>
      <c r="E770" s="38"/>
      <c r="K770" s="51"/>
    </row>
    <row r="771">
      <c r="B771" s="38"/>
      <c r="C771" s="38"/>
      <c r="D771" s="38"/>
      <c r="E771" s="38"/>
      <c r="K771" s="51"/>
    </row>
    <row r="772">
      <c r="B772" s="38"/>
      <c r="C772" s="38"/>
      <c r="D772" s="38"/>
      <c r="E772" s="38"/>
      <c r="K772" s="51"/>
    </row>
    <row r="773">
      <c r="B773" s="38"/>
      <c r="C773" s="38"/>
      <c r="D773" s="38"/>
      <c r="E773" s="38"/>
      <c r="K773" s="51"/>
    </row>
    <row r="774">
      <c r="B774" s="38"/>
      <c r="C774" s="38"/>
      <c r="D774" s="38"/>
      <c r="E774" s="38"/>
      <c r="K774" s="51"/>
    </row>
    <row r="775">
      <c r="B775" s="38"/>
      <c r="C775" s="38"/>
      <c r="D775" s="38"/>
      <c r="E775" s="38"/>
      <c r="K775" s="51"/>
    </row>
    <row r="776">
      <c r="B776" s="38"/>
      <c r="C776" s="38"/>
      <c r="D776" s="38"/>
      <c r="E776" s="38"/>
      <c r="K776" s="51"/>
    </row>
    <row r="777">
      <c r="B777" s="38"/>
      <c r="C777" s="38"/>
      <c r="D777" s="38"/>
      <c r="E777" s="38"/>
      <c r="K777" s="51"/>
    </row>
    <row r="778">
      <c r="B778" s="38"/>
      <c r="C778" s="38"/>
      <c r="D778" s="38"/>
      <c r="E778" s="38"/>
      <c r="K778" s="51"/>
    </row>
    <row r="779">
      <c r="B779" s="38"/>
      <c r="C779" s="38"/>
      <c r="D779" s="38"/>
      <c r="E779" s="38"/>
      <c r="K779" s="51"/>
    </row>
    <row r="780">
      <c r="B780" s="38"/>
      <c r="C780" s="38"/>
      <c r="D780" s="38"/>
      <c r="E780" s="38"/>
      <c r="K780" s="51"/>
    </row>
    <row r="781">
      <c r="B781" s="38"/>
      <c r="C781" s="38"/>
      <c r="D781" s="38"/>
      <c r="E781" s="38"/>
      <c r="K781" s="51"/>
    </row>
    <row r="782">
      <c r="B782" s="38"/>
      <c r="C782" s="38"/>
      <c r="D782" s="38"/>
      <c r="E782" s="38"/>
      <c r="K782" s="51"/>
    </row>
    <row r="783">
      <c r="B783" s="38"/>
      <c r="C783" s="38"/>
      <c r="D783" s="38"/>
      <c r="E783" s="38"/>
      <c r="K783" s="51"/>
    </row>
    <row r="784">
      <c r="B784" s="38"/>
      <c r="C784" s="38"/>
      <c r="D784" s="38"/>
      <c r="E784" s="38"/>
      <c r="K784" s="51"/>
    </row>
    <row r="785">
      <c r="B785" s="38"/>
      <c r="C785" s="38"/>
      <c r="D785" s="38"/>
      <c r="E785" s="38"/>
      <c r="K785" s="51"/>
    </row>
    <row r="786">
      <c r="B786" s="38"/>
      <c r="C786" s="38"/>
      <c r="D786" s="38"/>
      <c r="E786" s="38"/>
      <c r="K786" s="51"/>
    </row>
    <row r="787">
      <c r="B787" s="38"/>
      <c r="C787" s="38"/>
      <c r="D787" s="38"/>
      <c r="E787" s="38"/>
      <c r="K787" s="51"/>
    </row>
    <row r="788">
      <c r="B788" s="38"/>
      <c r="C788" s="38"/>
      <c r="D788" s="38"/>
      <c r="E788" s="38"/>
      <c r="K788" s="51"/>
    </row>
    <row r="789">
      <c r="B789" s="38"/>
      <c r="C789" s="38"/>
      <c r="D789" s="38"/>
      <c r="E789" s="38"/>
      <c r="K789" s="51"/>
    </row>
    <row r="790">
      <c r="B790" s="38"/>
      <c r="C790" s="38"/>
      <c r="D790" s="38"/>
      <c r="E790" s="38"/>
      <c r="K790" s="51"/>
    </row>
    <row r="791">
      <c r="B791" s="38"/>
      <c r="C791" s="38"/>
      <c r="D791" s="38"/>
      <c r="E791" s="38"/>
      <c r="K791" s="51"/>
    </row>
    <row r="792">
      <c r="B792" s="38"/>
      <c r="C792" s="38"/>
      <c r="D792" s="38"/>
      <c r="E792" s="38"/>
      <c r="K792" s="51"/>
    </row>
    <row r="793">
      <c r="B793" s="38"/>
      <c r="C793" s="38"/>
      <c r="D793" s="38"/>
      <c r="E793" s="38"/>
      <c r="K793" s="51"/>
    </row>
    <row r="794">
      <c r="B794" s="38"/>
      <c r="C794" s="38"/>
      <c r="D794" s="38"/>
      <c r="E794" s="38"/>
      <c r="K794" s="51"/>
    </row>
    <row r="795">
      <c r="B795" s="38"/>
      <c r="C795" s="38"/>
      <c r="D795" s="38"/>
      <c r="E795" s="38"/>
      <c r="K795" s="51"/>
    </row>
    <row r="796">
      <c r="B796" s="38"/>
      <c r="C796" s="38"/>
      <c r="D796" s="38"/>
      <c r="E796" s="38"/>
      <c r="K796" s="51"/>
    </row>
    <row r="797">
      <c r="B797" s="38"/>
      <c r="C797" s="38"/>
      <c r="D797" s="38"/>
      <c r="E797" s="38"/>
      <c r="K797" s="51"/>
    </row>
    <row r="798">
      <c r="B798" s="38"/>
      <c r="C798" s="38"/>
      <c r="D798" s="38"/>
      <c r="E798" s="38"/>
      <c r="K798" s="51"/>
    </row>
    <row r="799">
      <c r="B799" s="38"/>
      <c r="C799" s="38"/>
      <c r="D799" s="38"/>
      <c r="E799" s="38"/>
      <c r="K799" s="51"/>
    </row>
    <row r="800">
      <c r="B800" s="38"/>
      <c r="C800" s="38"/>
      <c r="D800" s="38"/>
      <c r="E800" s="38"/>
      <c r="K800" s="51"/>
    </row>
    <row r="801">
      <c r="B801" s="38"/>
      <c r="C801" s="38"/>
      <c r="D801" s="38"/>
      <c r="E801" s="38"/>
      <c r="K801" s="51"/>
    </row>
    <row r="802">
      <c r="B802" s="38"/>
      <c r="C802" s="38"/>
      <c r="D802" s="38"/>
      <c r="E802" s="38"/>
      <c r="K802" s="51"/>
    </row>
    <row r="803">
      <c r="B803" s="38"/>
      <c r="C803" s="38"/>
      <c r="D803" s="38"/>
      <c r="E803" s="38"/>
      <c r="K803" s="51"/>
    </row>
    <row r="804">
      <c r="B804" s="38"/>
      <c r="C804" s="38"/>
      <c r="D804" s="38"/>
      <c r="E804" s="38"/>
      <c r="K804" s="51"/>
    </row>
    <row r="805">
      <c r="B805" s="38"/>
      <c r="C805" s="38"/>
      <c r="D805" s="38"/>
      <c r="E805" s="38"/>
      <c r="K805" s="51"/>
    </row>
    <row r="806">
      <c r="B806" s="38"/>
      <c r="C806" s="38"/>
      <c r="D806" s="38"/>
      <c r="E806" s="38"/>
      <c r="K806" s="51"/>
    </row>
    <row r="807">
      <c r="B807" s="38"/>
      <c r="C807" s="38"/>
      <c r="D807" s="38"/>
      <c r="E807" s="38"/>
      <c r="K807" s="51"/>
    </row>
    <row r="808">
      <c r="B808" s="38"/>
      <c r="C808" s="38"/>
      <c r="D808" s="38"/>
      <c r="E808" s="38"/>
      <c r="K808" s="51"/>
    </row>
    <row r="809">
      <c r="B809" s="38"/>
      <c r="C809" s="38"/>
      <c r="D809" s="38"/>
      <c r="E809" s="38"/>
      <c r="K809" s="51"/>
    </row>
    <row r="810">
      <c r="B810" s="38"/>
      <c r="C810" s="38"/>
      <c r="D810" s="38"/>
      <c r="E810" s="38"/>
      <c r="K810" s="51"/>
    </row>
    <row r="811">
      <c r="B811" s="38"/>
      <c r="C811" s="38"/>
      <c r="D811" s="38"/>
      <c r="E811" s="38"/>
      <c r="K811" s="51"/>
    </row>
    <row r="812">
      <c r="B812" s="38"/>
      <c r="C812" s="38"/>
      <c r="D812" s="38"/>
      <c r="E812" s="38"/>
      <c r="K812" s="51"/>
    </row>
    <row r="813">
      <c r="B813" s="38"/>
      <c r="C813" s="38"/>
      <c r="D813" s="38"/>
      <c r="E813" s="38"/>
      <c r="K813" s="51"/>
    </row>
    <row r="814">
      <c r="B814" s="38"/>
      <c r="C814" s="38"/>
      <c r="D814" s="38"/>
      <c r="E814" s="38"/>
      <c r="K814" s="51"/>
    </row>
    <row r="815">
      <c r="B815" s="38"/>
      <c r="C815" s="38"/>
      <c r="D815" s="38"/>
      <c r="E815" s="38"/>
      <c r="K815" s="51"/>
    </row>
    <row r="816">
      <c r="B816" s="38"/>
      <c r="C816" s="38"/>
      <c r="D816" s="38"/>
      <c r="E816" s="38"/>
      <c r="K816" s="51"/>
    </row>
    <row r="817">
      <c r="B817" s="38"/>
      <c r="C817" s="38"/>
      <c r="D817" s="38"/>
      <c r="E817" s="38"/>
      <c r="K817" s="51"/>
    </row>
    <row r="818">
      <c r="B818" s="38"/>
      <c r="C818" s="38"/>
      <c r="D818" s="38"/>
      <c r="E818" s="38"/>
      <c r="K818" s="51"/>
    </row>
    <row r="819">
      <c r="B819" s="38"/>
      <c r="C819" s="38"/>
      <c r="D819" s="38"/>
      <c r="E819" s="38"/>
      <c r="K819" s="51"/>
    </row>
    <row r="820">
      <c r="B820" s="38"/>
      <c r="C820" s="38"/>
      <c r="D820" s="38"/>
      <c r="E820" s="38"/>
      <c r="K820" s="51"/>
    </row>
    <row r="821">
      <c r="B821" s="38"/>
      <c r="C821" s="38"/>
      <c r="D821" s="38"/>
      <c r="E821" s="38"/>
      <c r="K821" s="51"/>
    </row>
    <row r="822">
      <c r="B822" s="38"/>
      <c r="C822" s="38"/>
      <c r="D822" s="38"/>
      <c r="E822" s="38"/>
      <c r="K822" s="51"/>
    </row>
    <row r="823">
      <c r="B823" s="38"/>
      <c r="C823" s="38"/>
      <c r="D823" s="38"/>
      <c r="E823" s="38"/>
      <c r="K823" s="51"/>
    </row>
    <row r="824">
      <c r="B824" s="38"/>
      <c r="C824" s="38"/>
      <c r="D824" s="38"/>
      <c r="E824" s="38"/>
      <c r="K824" s="51"/>
    </row>
    <row r="825">
      <c r="B825" s="38"/>
      <c r="C825" s="38"/>
      <c r="D825" s="38"/>
      <c r="E825" s="38"/>
      <c r="K825" s="51"/>
    </row>
    <row r="826">
      <c r="B826" s="38"/>
      <c r="C826" s="38"/>
      <c r="D826" s="38"/>
      <c r="E826" s="38"/>
      <c r="K826" s="51"/>
    </row>
    <row r="827">
      <c r="B827" s="38"/>
      <c r="C827" s="38"/>
      <c r="D827" s="38"/>
      <c r="E827" s="38"/>
      <c r="K827" s="51"/>
    </row>
    <row r="828">
      <c r="B828" s="38"/>
      <c r="C828" s="38"/>
      <c r="D828" s="38"/>
      <c r="E828" s="38"/>
      <c r="K828" s="51"/>
    </row>
    <row r="829">
      <c r="B829" s="38"/>
      <c r="C829" s="38"/>
      <c r="D829" s="38"/>
      <c r="E829" s="38"/>
      <c r="K829" s="51"/>
    </row>
    <row r="830">
      <c r="B830" s="38"/>
      <c r="C830" s="38"/>
      <c r="D830" s="38"/>
      <c r="E830" s="38"/>
      <c r="K830" s="51"/>
    </row>
    <row r="831">
      <c r="B831" s="38"/>
      <c r="C831" s="38"/>
      <c r="D831" s="38"/>
      <c r="E831" s="38"/>
      <c r="K831" s="51"/>
    </row>
    <row r="832">
      <c r="B832" s="38"/>
      <c r="C832" s="38"/>
      <c r="D832" s="38"/>
      <c r="E832" s="38"/>
      <c r="K832" s="51"/>
    </row>
    <row r="833">
      <c r="B833" s="38"/>
      <c r="C833" s="38"/>
      <c r="D833" s="38"/>
      <c r="E833" s="38"/>
      <c r="K833" s="51"/>
    </row>
    <row r="834">
      <c r="B834" s="38"/>
      <c r="C834" s="38"/>
      <c r="D834" s="38"/>
      <c r="E834" s="38"/>
      <c r="K834" s="51"/>
    </row>
    <row r="835">
      <c r="B835" s="38"/>
      <c r="C835" s="38"/>
      <c r="D835" s="38"/>
      <c r="E835" s="38"/>
      <c r="K835" s="51"/>
    </row>
    <row r="836">
      <c r="B836" s="38"/>
      <c r="C836" s="38"/>
      <c r="D836" s="38"/>
      <c r="E836" s="38"/>
      <c r="K836" s="51"/>
    </row>
    <row r="837">
      <c r="B837" s="38"/>
      <c r="C837" s="38"/>
      <c r="D837" s="38"/>
      <c r="E837" s="38"/>
      <c r="K837" s="51"/>
    </row>
    <row r="838">
      <c r="B838" s="38"/>
      <c r="C838" s="38"/>
      <c r="D838" s="38"/>
      <c r="E838" s="38"/>
      <c r="K838" s="51"/>
    </row>
    <row r="839">
      <c r="B839" s="38"/>
      <c r="C839" s="38"/>
      <c r="D839" s="38"/>
      <c r="E839" s="38"/>
      <c r="K839" s="51"/>
    </row>
    <row r="840">
      <c r="B840" s="38"/>
      <c r="C840" s="38"/>
      <c r="D840" s="38"/>
      <c r="E840" s="38"/>
      <c r="K840" s="51"/>
    </row>
    <row r="841">
      <c r="B841" s="38"/>
      <c r="C841" s="38"/>
      <c r="D841" s="38"/>
      <c r="E841" s="38"/>
      <c r="K841" s="51"/>
    </row>
    <row r="842">
      <c r="B842" s="38"/>
      <c r="C842" s="38"/>
      <c r="D842" s="38"/>
      <c r="E842" s="38"/>
      <c r="K842" s="51"/>
    </row>
    <row r="843">
      <c r="B843" s="38"/>
      <c r="C843" s="38"/>
      <c r="D843" s="38"/>
      <c r="E843" s="38"/>
      <c r="K843" s="51"/>
    </row>
    <row r="844">
      <c r="B844" s="38"/>
      <c r="C844" s="38"/>
      <c r="D844" s="38"/>
      <c r="E844" s="38"/>
      <c r="K844" s="51"/>
    </row>
    <row r="845">
      <c r="B845" s="38"/>
      <c r="C845" s="38"/>
      <c r="D845" s="38"/>
      <c r="E845" s="38"/>
      <c r="K845" s="51"/>
    </row>
    <row r="846">
      <c r="B846" s="38"/>
      <c r="C846" s="38"/>
      <c r="D846" s="38"/>
      <c r="E846" s="38"/>
      <c r="K846" s="51"/>
    </row>
    <row r="847">
      <c r="B847" s="38"/>
      <c r="C847" s="38"/>
      <c r="D847" s="38"/>
      <c r="E847" s="38"/>
      <c r="K847" s="51"/>
    </row>
    <row r="848">
      <c r="B848" s="38"/>
      <c r="C848" s="38"/>
      <c r="D848" s="38"/>
      <c r="E848" s="38"/>
      <c r="K848" s="51"/>
    </row>
    <row r="849">
      <c r="B849" s="38"/>
      <c r="C849" s="38"/>
      <c r="D849" s="38"/>
      <c r="E849" s="38"/>
      <c r="K849" s="51"/>
    </row>
    <row r="850">
      <c r="B850" s="38"/>
      <c r="C850" s="38"/>
      <c r="D850" s="38"/>
      <c r="E850" s="38"/>
      <c r="K850" s="51"/>
    </row>
    <row r="851">
      <c r="B851" s="38"/>
      <c r="C851" s="38"/>
      <c r="D851" s="38"/>
      <c r="E851" s="38"/>
      <c r="K851" s="51"/>
    </row>
    <row r="852">
      <c r="B852" s="38"/>
      <c r="C852" s="38"/>
      <c r="D852" s="38"/>
      <c r="E852" s="38"/>
      <c r="K852" s="51"/>
    </row>
    <row r="853">
      <c r="B853" s="38"/>
      <c r="C853" s="38"/>
      <c r="D853" s="38"/>
      <c r="E853" s="38"/>
      <c r="K853" s="51"/>
    </row>
    <row r="854">
      <c r="B854" s="38"/>
      <c r="C854" s="38"/>
      <c r="D854" s="38"/>
      <c r="E854" s="38"/>
      <c r="K854" s="51"/>
    </row>
    <row r="855">
      <c r="B855" s="38"/>
      <c r="C855" s="38"/>
      <c r="D855" s="38"/>
      <c r="E855" s="38"/>
      <c r="K855" s="51"/>
    </row>
    <row r="856">
      <c r="B856" s="38"/>
      <c r="C856" s="38"/>
      <c r="D856" s="38"/>
      <c r="E856" s="38"/>
      <c r="K856" s="51"/>
    </row>
    <row r="857">
      <c r="B857" s="38"/>
      <c r="C857" s="38"/>
      <c r="D857" s="38"/>
      <c r="E857" s="38"/>
      <c r="K857" s="51"/>
    </row>
    <row r="858">
      <c r="B858" s="38"/>
      <c r="C858" s="38"/>
      <c r="D858" s="38"/>
      <c r="E858" s="38"/>
      <c r="K858" s="51"/>
    </row>
    <row r="859">
      <c r="B859" s="38"/>
      <c r="C859" s="38"/>
      <c r="D859" s="38"/>
      <c r="E859" s="38"/>
      <c r="K859" s="51"/>
    </row>
    <row r="860">
      <c r="B860" s="38"/>
      <c r="C860" s="38"/>
      <c r="D860" s="38"/>
      <c r="E860" s="38"/>
      <c r="K860" s="51"/>
    </row>
    <row r="861">
      <c r="B861" s="38"/>
      <c r="C861" s="38"/>
      <c r="D861" s="38"/>
      <c r="E861" s="38"/>
      <c r="K861" s="51"/>
    </row>
    <row r="862">
      <c r="B862" s="38"/>
      <c r="C862" s="38"/>
      <c r="D862" s="38"/>
      <c r="E862" s="38"/>
      <c r="K862" s="51"/>
    </row>
    <row r="863">
      <c r="B863" s="38"/>
      <c r="C863" s="38"/>
      <c r="D863" s="38"/>
      <c r="E863" s="38"/>
      <c r="K863" s="51"/>
    </row>
    <row r="864">
      <c r="B864" s="38"/>
      <c r="C864" s="38"/>
      <c r="D864" s="38"/>
      <c r="E864" s="38"/>
      <c r="K864" s="51"/>
    </row>
    <row r="865">
      <c r="B865" s="38"/>
      <c r="C865" s="38"/>
      <c r="D865" s="38"/>
      <c r="E865" s="38"/>
      <c r="K865" s="51"/>
    </row>
    <row r="866">
      <c r="B866" s="38"/>
      <c r="C866" s="38"/>
      <c r="D866" s="38"/>
      <c r="E866" s="38"/>
      <c r="K866" s="51"/>
    </row>
    <row r="867">
      <c r="B867" s="38"/>
      <c r="C867" s="38"/>
      <c r="D867" s="38"/>
      <c r="E867" s="38"/>
      <c r="K867" s="51"/>
    </row>
    <row r="868">
      <c r="B868" s="38"/>
      <c r="C868" s="38"/>
      <c r="D868" s="38"/>
      <c r="E868" s="38"/>
      <c r="K868" s="51"/>
    </row>
    <row r="869">
      <c r="B869" s="38"/>
      <c r="C869" s="38"/>
      <c r="D869" s="38"/>
      <c r="E869" s="38"/>
      <c r="K869" s="51"/>
    </row>
    <row r="870">
      <c r="B870" s="38"/>
      <c r="C870" s="38"/>
      <c r="D870" s="38"/>
      <c r="E870" s="38"/>
      <c r="K870" s="51"/>
    </row>
    <row r="871">
      <c r="B871" s="38"/>
      <c r="C871" s="38"/>
      <c r="D871" s="38"/>
      <c r="E871" s="38"/>
      <c r="K871" s="51"/>
    </row>
    <row r="872">
      <c r="B872" s="38"/>
      <c r="C872" s="38"/>
      <c r="D872" s="38"/>
      <c r="E872" s="38"/>
      <c r="K872" s="51"/>
    </row>
    <row r="873">
      <c r="B873" s="38"/>
      <c r="C873" s="38"/>
      <c r="D873" s="38"/>
      <c r="E873" s="38"/>
      <c r="K873" s="51"/>
    </row>
    <row r="874">
      <c r="B874" s="38"/>
      <c r="C874" s="38"/>
      <c r="D874" s="38"/>
      <c r="E874" s="38"/>
      <c r="K874" s="51"/>
    </row>
    <row r="875">
      <c r="B875" s="38"/>
      <c r="C875" s="38"/>
      <c r="D875" s="38"/>
      <c r="E875" s="38"/>
      <c r="K875" s="51"/>
    </row>
    <row r="876">
      <c r="B876" s="38"/>
      <c r="C876" s="38"/>
      <c r="D876" s="38"/>
      <c r="E876" s="38"/>
      <c r="K876" s="51"/>
    </row>
    <row r="877">
      <c r="B877" s="38"/>
      <c r="C877" s="38"/>
      <c r="D877" s="38"/>
      <c r="E877" s="38"/>
      <c r="K877" s="51"/>
    </row>
    <row r="878">
      <c r="B878" s="38"/>
      <c r="C878" s="38"/>
      <c r="D878" s="38"/>
      <c r="E878" s="38"/>
      <c r="K878" s="51"/>
    </row>
    <row r="879">
      <c r="B879" s="38"/>
      <c r="C879" s="38"/>
      <c r="D879" s="38"/>
      <c r="E879" s="38"/>
      <c r="K879" s="51"/>
    </row>
    <row r="880">
      <c r="B880" s="38"/>
      <c r="C880" s="38"/>
      <c r="D880" s="38"/>
      <c r="E880" s="38"/>
      <c r="K880" s="51"/>
    </row>
    <row r="881">
      <c r="B881" s="38"/>
      <c r="C881" s="38"/>
      <c r="D881" s="38"/>
      <c r="E881" s="38"/>
      <c r="K881" s="51"/>
    </row>
    <row r="882">
      <c r="B882" s="38"/>
      <c r="C882" s="38"/>
      <c r="D882" s="38"/>
      <c r="E882" s="38"/>
      <c r="K882" s="51"/>
    </row>
    <row r="883">
      <c r="B883" s="38"/>
      <c r="C883" s="38"/>
      <c r="D883" s="38"/>
      <c r="E883" s="38"/>
      <c r="K883" s="51"/>
    </row>
    <row r="884">
      <c r="B884" s="38"/>
      <c r="C884" s="38"/>
      <c r="D884" s="38"/>
      <c r="E884" s="38"/>
      <c r="K884" s="51"/>
    </row>
    <row r="885">
      <c r="B885" s="38"/>
      <c r="C885" s="38"/>
      <c r="D885" s="38"/>
      <c r="E885" s="38"/>
      <c r="K885" s="51"/>
    </row>
    <row r="886">
      <c r="B886" s="38"/>
      <c r="C886" s="38"/>
      <c r="D886" s="38"/>
      <c r="E886" s="38"/>
      <c r="K886" s="51"/>
    </row>
    <row r="887">
      <c r="B887" s="38"/>
      <c r="C887" s="38"/>
      <c r="D887" s="38"/>
      <c r="E887" s="38"/>
      <c r="K887" s="51"/>
    </row>
    <row r="888">
      <c r="B888" s="38"/>
      <c r="C888" s="38"/>
      <c r="D888" s="38"/>
      <c r="E888" s="38"/>
      <c r="K888" s="51"/>
    </row>
    <row r="889">
      <c r="B889" s="38"/>
      <c r="C889" s="38"/>
      <c r="D889" s="38"/>
      <c r="E889" s="38"/>
      <c r="K889" s="51"/>
    </row>
    <row r="890">
      <c r="B890" s="38"/>
      <c r="C890" s="38"/>
      <c r="D890" s="38"/>
      <c r="E890" s="38"/>
      <c r="K890" s="51"/>
    </row>
    <row r="891">
      <c r="B891" s="38"/>
      <c r="C891" s="38"/>
      <c r="D891" s="38"/>
      <c r="E891" s="38"/>
      <c r="K891" s="51"/>
    </row>
    <row r="892">
      <c r="B892" s="38"/>
      <c r="C892" s="38"/>
      <c r="D892" s="38"/>
      <c r="E892" s="38"/>
      <c r="K892" s="51"/>
    </row>
    <row r="893">
      <c r="B893" s="38"/>
      <c r="C893" s="38"/>
      <c r="D893" s="38"/>
      <c r="E893" s="38"/>
      <c r="K893" s="51"/>
    </row>
    <row r="894">
      <c r="B894" s="38"/>
      <c r="C894" s="38"/>
      <c r="D894" s="38"/>
      <c r="E894" s="38"/>
      <c r="K894" s="51"/>
    </row>
    <row r="895">
      <c r="B895" s="38"/>
      <c r="C895" s="38"/>
      <c r="D895" s="38"/>
      <c r="E895" s="38"/>
      <c r="K895" s="51"/>
    </row>
    <row r="896">
      <c r="B896" s="38"/>
      <c r="C896" s="38"/>
      <c r="D896" s="38"/>
      <c r="E896" s="38"/>
      <c r="K896" s="51"/>
    </row>
    <row r="897">
      <c r="B897" s="38"/>
      <c r="C897" s="38"/>
      <c r="D897" s="38"/>
      <c r="E897" s="38"/>
      <c r="K897" s="51"/>
    </row>
    <row r="898">
      <c r="B898" s="38"/>
      <c r="C898" s="38"/>
      <c r="D898" s="38"/>
      <c r="E898" s="38"/>
      <c r="K898" s="51"/>
    </row>
    <row r="899">
      <c r="B899" s="38"/>
      <c r="C899" s="38"/>
      <c r="D899" s="38"/>
      <c r="E899" s="38"/>
      <c r="K899" s="51"/>
    </row>
    <row r="900">
      <c r="B900" s="38"/>
      <c r="C900" s="38"/>
      <c r="D900" s="38"/>
      <c r="E900" s="38"/>
      <c r="K900" s="51"/>
    </row>
    <row r="901">
      <c r="B901" s="38"/>
      <c r="C901" s="38"/>
      <c r="D901" s="38"/>
      <c r="E901" s="38"/>
      <c r="K901" s="51"/>
    </row>
    <row r="902">
      <c r="B902" s="38"/>
      <c r="C902" s="38"/>
      <c r="D902" s="38"/>
      <c r="E902" s="38"/>
      <c r="K902" s="51"/>
    </row>
    <row r="903">
      <c r="B903" s="38"/>
      <c r="C903" s="38"/>
      <c r="D903" s="38"/>
      <c r="E903" s="38"/>
      <c r="K903" s="51"/>
    </row>
    <row r="904">
      <c r="B904" s="38"/>
      <c r="C904" s="38"/>
      <c r="D904" s="38"/>
      <c r="E904" s="38"/>
      <c r="K904" s="51"/>
    </row>
    <row r="905">
      <c r="B905" s="38"/>
      <c r="C905" s="38"/>
      <c r="D905" s="38"/>
      <c r="E905" s="38"/>
      <c r="K905" s="51"/>
    </row>
    <row r="906">
      <c r="B906" s="38"/>
      <c r="C906" s="38"/>
      <c r="D906" s="38"/>
      <c r="E906" s="38"/>
      <c r="K906" s="51"/>
    </row>
    <row r="907">
      <c r="B907" s="38"/>
      <c r="C907" s="38"/>
      <c r="D907" s="38"/>
      <c r="E907" s="38"/>
      <c r="K907" s="51"/>
    </row>
    <row r="908">
      <c r="B908" s="38"/>
      <c r="C908" s="38"/>
      <c r="D908" s="38"/>
      <c r="E908" s="38"/>
      <c r="K908" s="51"/>
    </row>
    <row r="909">
      <c r="B909" s="38"/>
      <c r="C909" s="38"/>
      <c r="D909" s="38"/>
      <c r="E909" s="38"/>
      <c r="K909" s="51"/>
    </row>
    <row r="910">
      <c r="B910" s="38"/>
      <c r="C910" s="38"/>
      <c r="D910" s="38"/>
      <c r="E910" s="38"/>
      <c r="K910" s="51"/>
    </row>
    <row r="911">
      <c r="B911" s="38"/>
      <c r="C911" s="38"/>
      <c r="D911" s="38"/>
      <c r="E911" s="38"/>
      <c r="K911" s="51"/>
    </row>
    <row r="912">
      <c r="B912" s="38"/>
      <c r="C912" s="38"/>
      <c r="D912" s="38"/>
      <c r="E912" s="38"/>
      <c r="K912" s="51"/>
    </row>
    <row r="913">
      <c r="B913" s="38"/>
      <c r="C913" s="38"/>
      <c r="D913" s="38"/>
      <c r="E913" s="38"/>
      <c r="K913" s="51"/>
    </row>
    <row r="914">
      <c r="B914" s="38"/>
      <c r="C914" s="38"/>
      <c r="D914" s="38"/>
      <c r="E914" s="38"/>
      <c r="K914" s="51"/>
    </row>
    <row r="915">
      <c r="B915" s="38"/>
      <c r="C915" s="38"/>
      <c r="D915" s="38"/>
      <c r="E915" s="38"/>
      <c r="K915" s="51"/>
    </row>
    <row r="916">
      <c r="B916" s="38"/>
      <c r="C916" s="38"/>
      <c r="D916" s="38"/>
      <c r="E916" s="38"/>
      <c r="K916" s="51"/>
    </row>
    <row r="917">
      <c r="B917" s="38"/>
      <c r="C917" s="38"/>
      <c r="D917" s="38"/>
      <c r="E917" s="38"/>
      <c r="K917" s="51"/>
    </row>
    <row r="918">
      <c r="B918" s="38"/>
      <c r="C918" s="38"/>
      <c r="D918" s="38"/>
      <c r="E918" s="38"/>
      <c r="K918" s="51"/>
    </row>
    <row r="919">
      <c r="B919" s="38"/>
      <c r="C919" s="38"/>
      <c r="D919" s="38"/>
      <c r="E919" s="38"/>
      <c r="K919" s="51"/>
    </row>
    <row r="920">
      <c r="B920" s="38"/>
      <c r="C920" s="38"/>
      <c r="D920" s="38"/>
      <c r="E920" s="38"/>
      <c r="K920" s="51"/>
    </row>
    <row r="921">
      <c r="B921" s="38"/>
      <c r="C921" s="38"/>
      <c r="D921" s="38"/>
      <c r="E921" s="38"/>
      <c r="K921" s="51"/>
    </row>
    <row r="922">
      <c r="B922" s="38"/>
      <c r="C922" s="38"/>
      <c r="D922" s="38"/>
      <c r="E922" s="38"/>
      <c r="K922" s="51"/>
    </row>
    <row r="923">
      <c r="B923" s="38"/>
      <c r="C923" s="38"/>
      <c r="D923" s="38"/>
      <c r="E923" s="38"/>
      <c r="K923" s="51"/>
    </row>
    <row r="924">
      <c r="B924" s="38"/>
      <c r="C924" s="38"/>
      <c r="D924" s="38"/>
      <c r="E924" s="38"/>
      <c r="K924" s="51"/>
    </row>
    <row r="925">
      <c r="B925" s="38"/>
      <c r="C925" s="38"/>
      <c r="D925" s="38"/>
      <c r="E925" s="38"/>
      <c r="K925" s="51"/>
    </row>
    <row r="926">
      <c r="B926" s="38"/>
      <c r="C926" s="38"/>
      <c r="D926" s="38"/>
      <c r="E926" s="38"/>
      <c r="K926" s="51"/>
    </row>
    <row r="927">
      <c r="B927" s="38"/>
      <c r="C927" s="38"/>
      <c r="D927" s="38"/>
      <c r="E927" s="38"/>
      <c r="K927" s="51"/>
    </row>
    <row r="928">
      <c r="B928" s="38"/>
      <c r="C928" s="38"/>
      <c r="D928" s="38"/>
      <c r="E928" s="38"/>
      <c r="K928" s="51"/>
    </row>
    <row r="929">
      <c r="B929" s="38"/>
      <c r="C929" s="38"/>
      <c r="D929" s="38"/>
      <c r="E929" s="38"/>
      <c r="K929" s="51"/>
    </row>
    <row r="930">
      <c r="B930" s="38"/>
      <c r="C930" s="38"/>
      <c r="D930" s="38"/>
      <c r="E930" s="38"/>
      <c r="K930" s="51"/>
    </row>
    <row r="931">
      <c r="B931" s="38"/>
      <c r="C931" s="38"/>
      <c r="D931" s="38"/>
      <c r="E931" s="38"/>
      <c r="K931" s="51"/>
    </row>
    <row r="932">
      <c r="B932" s="38"/>
      <c r="C932" s="38"/>
      <c r="D932" s="38"/>
      <c r="E932" s="38"/>
      <c r="K932" s="51"/>
    </row>
    <row r="933">
      <c r="B933" s="38"/>
      <c r="C933" s="38"/>
      <c r="D933" s="38"/>
      <c r="E933" s="38"/>
      <c r="K933" s="51"/>
    </row>
    <row r="934">
      <c r="B934" s="38"/>
      <c r="C934" s="38"/>
      <c r="D934" s="38"/>
      <c r="E934" s="38"/>
      <c r="K934" s="51"/>
    </row>
    <row r="935">
      <c r="B935" s="38"/>
      <c r="C935" s="38"/>
      <c r="D935" s="38"/>
      <c r="E935" s="38"/>
      <c r="K935" s="51"/>
    </row>
    <row r="936">
      <c r="B936" s="38"/>
      <c r="C936" s="38"/>
      <c r="D936" s="38"/>
      <c r="E936" s="38"/>
      <c r="K936" s="51"/>
    </row>
    <row r="937">
      <c r="B937" s="38"/>
      <c r="C937" s="38"/>
      <c r="D937" s="38"/>
      <c r="E937" s="38"/>
      <c r="K937" s="51"/>
    </row>
    <row r="938">
      <c r="B938" s="38"/>
      <c r="C938" s="38"/>
      <c r="D938" s="38"/>
      <c r="E938" s="38"/>
      <c r="K938" s="51"/>
    </row>
    <row r="939">
      <c r="B939" s="38"/>
      <c r="C939" s="38"/>
      <c r="D939" s="38"/>
      <c r="E939" s="38"/>
      <c r="K939" s="51"/>
    </row>
    <row r="940">
      <c r="B940" s="38"/>
      <c r="C940" s="38"/>
      <c r="D940" s="38"/>
      <c r="E940" s="38"/>
      <c r="K940" s="51"/>
    </row>
    <row r="941">
      <c r="B941" s="38"/>
      <c r="C941" s="38"/>
      <c r="D941" s="38"/>
      <c r="E941" s="38"/>
      <c r="K941" s="51"/>
    </row>
    <row r="942">
      <c r="B942" s="38"/>
      <c r="C942" s="38"/>
      <c r="D942" s="38"/>
      <c r="E942" s="38"/>
      <c r="K942" s="51"/>
    </row>
    <row r="943">
      <c r="B943" s="38"/>
      <c r="C943" s="38"/>
      <c r="D943" s="38"/>
      <c r="E943" s="38"/>
      <c r="K943" s="51"/>
    </row>
    <row r="944">
      <c r="B944" s="38"/>
      <c r="C944" s="38"/>
      <c r="D944" s="38"/>
      <c r="E944" s="38"/>
      <c r="K944" s="51"/>
    </row>
    <row r="945">
      <c r="B945" s="38"/>
      <c r="C945" s="38"/>
      <c r="D945" s="38"/>
      <c r="E945" s="38"/>
      <c r="K945" s="51"/>
    </row>
    <row r="946">
      <c r="B946" s="38"/>
      <c r="C946" s="38"/>
      <c r="D946" s="38"/>
      <c r="E946" s="38"/>
      <c r="K946" s="51"/>
    </row>
    <row r="947">
      <c r="B947" s="38"/>
      <c r="C947" s="38"/>
      <c r="D947" s="38"/>
      <c r="E947" s="38"/>
      <c r="K947" s="51"/>
    </row>
    <row r="948">
      <c r="B948" s="38"/>
      <c r="C948" s="38"/>
      <c r="D948" s="38"/>
      <c r="E948" s="38"/>
      <c r="K948" s="51"/>
    </row>
    <row r="949">
      <c r="B949" s="38"/>
      <c r="C949" s="38"/>
      <c r="D949" s="38"/>
      <c r="E949" s="38"/>
      <c r="K949" s="51"/>
    </row>
    <row r="950">
      <c r="B950" s="38"/>
      <c r="C950" s="38"/>
      <c r="D950" s="38"/>
      <c r="E950" s="38"/>
      <c r="K950" s="51"/>
    </row>
    <row r="951">
      <c r="B951" s="38"/>
      <c r="C951" s="38"/>
      <c r="D951" s="38"/>
      <c r="E951" s="38"/>
      <c r="K951" s="51"/>
    </row>
    <row r="952">
      <c r="B952" s="38"/>
      <c r="C952" s="38"/>
      <c r="D952" s="38"/>
      <c r="E952" s="38"/>
      <c r="K952" s="51"/>
    </row>
    <row r="953">
      <c r="B953" s="38"/>
      <c r="C953" s="38"/>
      <c r="D953" s="38"/>
      <c r="E953" s="38"/>
      <c r="K953" s="51"/>
    </row>
    <row r="954">
      <c r="B954" s="38"/>
      <c r="C954" s="38"/>
      <c r="D954" s="38"/>
      <c r="E954" s="38"/>
      <c r="K954" s="51"/>
    </row>
    <row r="955">
      <c r="B955" s="38"/>
      <c r="C955" s="38"/>
      <c r="D955" s="38"/>
      <c r="E955" s="38"/>
      <c r="K955" s="51"/>
    </row>
    <row r="956">
      <c r="B956" s="38"/>
      <c r="C956" s="38"/>
      <c r="D956" s="38"/>
      <c r="E956" s="38"/>
      <c r="K956" s="51"/>
    </row>
    <row r="957">
      <c r="B957" s="38"/>
      <c r="C957" s="38"/>
      <c r="D957" s="38"/>
      <c r="E957" s="38"/>
      <c r="K957" s="51"/>
    </row>
    <row r="958">
      <c r="B958" s="38"/>
      <c r="C958" s="38"/>
      <c r="D958" s="38"/>
      <c r="E958" s="38"/>
      <c r="K958" s="51"/>
    </row>
    <row r="959">
      <c r="B959" s="38"/>
      <c r="C959" s="38"/>
      <c r="D959" s="38"/>
      <c r="E959" s="38"/>
      <c r="K959" s="51"/>
    </row>
    <row r="960">
      <c r="B960" s="38"/>
      <c r="C960" s="38"/>
      <c r="D960" s="38"/>
      <c r="E960" s="38"/>
      <c r="K960" s="51"/>
    </row>
    <row r="961">
      <c r="B961" s="38"/>
      <c r="C961" s="38"/>
      <c r="D961" s="38"/>
      <c r="E961" s="38"/>
      <c r="K961" s="51"/>
    </row>
    <row r="962">
      <c r="B962" s="38"/>
      <c r="C962" s="38"/>
      <c r="D962" s="38"/>
      <c r="E962" s="38"/>
      <c r="K962" s="51"/>
    </row>
    <row r="963">
      <c r="B963" s="38"/>
      <c r="C963" s="38"/>
      <c r="D963" s="38"/>
      <c r="E963" s="38"/>
      <c r="K963" s="51"/>
    </row>
    <row r="964">
      <c r="B964" s="38"/>
      <c r="C964" s="38"/>
      <c r="D964" s="38"/>
      <c r="E964" s="38"/>
      <c r="K964" s="51"/>
    </row>
    <row r="965">
      <c r="B965" s="38"/>
      <c r="C965" s="38"/>
      <c r="D965" s="38"/>
      <c r="E965" s="38"/>
      <c r="K965" s="51"/>
    </row>
    <row r="966">
      <c r="B966" s="38"/>
      <c r="C966" s="38"/>
      <c r="D966" s="38"/>
      <c r="E966" s="38"/>
      <c r="K966" s="51"/>
    </row>
    <row r="967">
      <c r="B967" s="38"/>
      <c r="C967" s="38"/>
      <c r="D967" s="38"/>
      <c r="E967" s="38"/>
      <c r="K967" s="51"/>
    </row>
    <row r="968">
      <c r="B968" s="38"/>
      <c r="C968" s="38"/>
      <c r="D968" s="38"/>
      <c r="E968" s="38"/>
      <c r="K968" s="51"/>
    </row>
    <row r="969">
      <c r="B969" s="38"/>
      <c r="C969" s="38"/>
      <c r="D969" s="38"/>
      <c r="E969" s="38"/>
      <c r="K969" s="51"/>
    </row>
    <row r="970">
      <c r="B970" s="38"/>
      <c r="C970" s="38"/>
      <c r="D970" s="38"/>
      <c r="E970" s="38"/>
      <c r="K970" s="51"/>
    </row>
    <row r="971">
      <c r="B971" s="38"/>
      <c r="C971" s="38"/>
      <c r="D971" s="38"/>
      <c r="E971" s="38"/>
      <c r="K971" s="51"/>
    </row>
    <row r="972">
      <c r="B972" s="38"/>
      <c r="C972" s="38"/>
      <c r="D972" s="38"/>
      <c r="E972" s="38"/>
      <c r="K972" s="51"/>
    </row>
    <row r="973">
      <c r="B973" s="38"/>
      <c r="C973" s="38"/>
      <c r="D973" s="38"/>
      <c r="E973" s="38"/>
      <c r="K973" s="51"/>
    </row>
    <row r="974">
      <c r="B974" s="38"/>
      <c r="C974" s="38"/>
      <c r="D974" s="38"/>
      <c r="E974" s="38"/>
      <c r="K974" s="51"/>
    </row>
    <row r="975">
      <c r="B975" s="38"/>
      <c r="C975" s="38"/>
      <c r="D975" s="38"/>
      <c r="E975" s="38"/>
      <c r="K975" s="51"/>
    </row>
    <row r="976">
      <c r="B976" s="38"/>
      <c r="C976" s="38"/>
      <c r="D976" s="38"/>
      <c r="E976" s="38"/>
      <c r="K976" s="51"/>
    </row>
    <row r="977">
      <c r="B977" s="38"/>
      <c r="C977" s="38"/>
      <c r="D977" s="38"/>
      <c r="E977" s="38"/>
      <c r="K977" s="51"/>
    </row>
    <row r="978">
      <c r="B978" s="38"/>
      <c r="C978" s="38"/>
      <c r="D978" s="38"/>
      <c r="E978" s="38"/>
      <c r="K978" s="51"/>
    </row>
    <row r="979">
      <c r="B979" s="38"/>
      <c r="C979" s="38"/>
      <c r="D979" s="38"/>
      <c r="E979" s="38"/>
      <c r="K979" s="51"/>
    </row>
    <row r="980">
      <c r="B980" s="38"/>
      <c r="C980" s="38"/>
      <c r="D980" s="38"/>
      <c r="E980" s="38"/>
      <c r="K980" s="51"/>
    </row>
    <row r="981">
      <c r="B981" s="38"/>
      <c r="C981" s="38"/>
      <c r="D981" s="38"/>
      <c r="E981" s="38"/>
      <c r="K981" s="51"/>
    </row>
    <row r="982">
      <c r="B982" s="38"/>
      <c r="C982" s="38"/>
      <c r="D982" s="38"/>
      <c r="E982" s="38"/>
      <c r="K982" s="51"/>
    </row>
    <row r="983">
      <c r="B983" s="38"/>
      <c r="C983" s="38"/>
      <c r="D983" s="38"/>
      <c r="E983" s="38"/>
      <c r="K983" s="51"/>
    </row>
    <row r="984">
      <c r="B984" s="38"/>
      <c r="C984" s="38"/>
      <c r="D984" s="38"/>
      <c r="E984" s="38"/>
      <c r="K984" s="51"/>
    </row>
    <row r="985">
      <c r="B985" s="38"/>
      <c r="C985" s="38"/>
      <c r="D985" s="38"/>
      <c r="E985" s="38"/>
      <c r="K985" s="51"/>
    </row>
    <row r="986">
      <c r="B986" s="38"/>
      <c r="C986" s="38"/>
      <c r="D986" s="38"/>
      <c r="E986" s="38"/>
      <c r="K986" s="51"/>
    </row>
    <row r="987">
      <c r="B987" s="38"/>
      <c r="C987" s="38"/>
      <c r="D987" s="38"/>
      <c r="E987" s="38"/>
      <c r="K987" s="51"/>
    </row>
    <row r="988">
      <c r="B988" s="38"/>
      <c r="C988" s="38"/>
      <c r="D988" s="38"/>
      <c r="E988" s="38"/>
      <c r="K988" s="51"/>
    </row>
    <row r="989">
      <c r="B989" s="38"/>
      <c r="C989" s="38"/>
      <c r="D989" s="38"/>
      <c r="E989" s="38"/>
      <c r="K989" s="51"/>
    </row>
    <row r="990">
      <c r="B990" s="38"/>
      <c r="C990" s="38"/>
      <c r="D990" s="38"/>
      <c r="E990" s="38"/>
      <c r="K990" s="51"/>
    </row>
    <row r="991">
      <c r="B991" s="38"/>
      <c r="C991" s="38"/>
      <c r="D991" s="38"/>
      <c r="E991" s="38"/>
      <c r="K991" s="51"/>
    </row>
    <row r="992">
      <c r="B992" s="38"/>
      <c r="C992" s="38"/>
      <c r="D992" s="38"/>
      <c r="E992" s="38"/>
      <c r="K992" s="51"/>
    </row>
    <row r="993">
      <c r="B993" s="38"/>
      <c r="C993" s="38"/>
      <c r="D993" s="38"/>
      <c r="E993" s="38"/>
      <c r="K993" s="51"/>
    </row>
    <row r="994">
      <c r="B994" s="38"/>
      <c r="C994" s="38"/>
      <c r="D994" s="38"/>
      <c r="E994" s="38"/>
      <c r="K994" s="51"/>
    </row>
    <row r="995">
      <c r="B995" s="38"/>
      <c r="C995" s="38"/>
      <c r="D995" s="38"/>
      <c r="E995" s="38"/>
      <c r="K995" s="51"/>
    </row>
    <row r="996">
      <c r="B996" s="38"/>
      <c r="C996" s="38"/>
      <c r="D996" s="38"/>
      <c r="E996" s="38"/>
      <c r="K996" s="51"/>
    </row>
    <row r="997">
      <c r="B997" s="38"/>
      <c r="C997" s="38"/>
      <c r="D997" s="38"/>
      <c r="E997" s="38"/>
      <c r="K997" s="51"/>
    </row>
    <row r="998">
      <c r="B998" s="38"/>
      <c r="C998" s="38"/>
      <c r="D998" s="38"/>
      <c r="E998" s="38"/>
      <c r="K998" s="51"/>
    </row>
    <row r="999">
      <c r="B999" s="38"/>
      <c r="C999" s="38"/>
      <c r="D999" s="38"/>
      <c r="E999" s="38"/>
      <c r="K999" s="51"/>
    </row>
    <row r="1000">
      <c r="B1000" s="38"/>
      <c r="C1000" s="38"/>
      <c r="D1000" s="38"/>
      <c r="E1000" s="38"/>
      <c r="K1000" s="51"/>
    </row>
    <row r="1001">
      <c r="B1001" s="38"/>
      <c r="C1001" s="38"/>
      <c r="D1001" s="38"/>
      <c r="E1001" s="38"/>
      <c r="K1001" s="51"/>
    </row>
    <row r="1002">
      <c r="B1002" s="38"/>
      <c r="C1002" s="38"/>
      <c r="D1002" s="38"/>
      <c r="E1002" s="38"/>
      <c r="K1002" s="51"/>
    </row>
    <row r="1003">
      <c r="B1003" s="38"/>
      <c r="C1003" s="38"/>
      <c r="D1003" s="38"/>
      <c r="E1003" s="38"/>
      <c r="K1003" s="51"/>
    </row>
    <row r="1004">
      <c r="B1004" s="38"/>
      <c r="C1004" s="38"/>
      <c r="D1004" s="38"/>
      <c r="E1004" s="38"/>
      <c r="K1004" s="51"/>
    </row>
    <row r="1005">
      <c r="B1005" s="38"/>
      <c r="C1005" s="38"/>
      <c r="D1005" s="38"/>
      <c r="E1005" s="38"/>
      <c r="K1005" s="51"/>
    </row>
    <row r="1006">
      <c r="B1006" s="38"/>
      <c r="C1006" s="38"/>
      <c r="D1006" s="38"/>
      <c r="E1006" s="38"/>
      <c r="K1006" s="51"/>
    </row>
    <row r="1007">
      <c r="B1007" s="38"/>
      <c r="C1007" s="38"/>
      <c r="D1007" s="38"/>
      <c r="E1007" s="38"/>
      <c r="K1007" s="51"/>
    </row>
    <row r="1008">
      <c r="B1008" s="38"/>
      <c r="C1008" s="38"/>
      <c r="D1008" s="38"/>
      <c r="E1008" s="38"/>
      <c r="K1008" s="51"/>
    </row>
    <row r="1009">
      <c r="B1009" s="38"/>
      <c r="C1009" s="38"/>
      <c r="D1009" s="38"/>
      <c r="E1009" s="38"/>
      <c r="K1009" s="51"/>
    </row>
  </sheetData>
  <printOptions gridLines="1" horizontalCentered="1"/>
  <pageMargins bottom="0.75" footer="0.0" header="0.0" left="0.7" right="0.7" top="0.75"/>
  <pageSetup fitToWidth="0" cellComments="atEnd" orientation="portrait" pageOrder="overThenDown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0.25"/>
    <col hidden="1" min="16" max="16" width="12.63"/>
  </cols>
  <sheetData>
    <row r="1">
      <c r="A1" s="52" t="s">
        <v>64</v>
      </c>
      <c r="B1" s="52" t="s">
        <v>75</v>
      </c>
      <c r="C1" s="53" t="s">
        <v>65</v>
      </c>
      <c r="D1" s="52" t="s">
        <v>132</v>
      </c>
      <c r="E1" s="52" t="s">
        <v>133</v>
      </c>
      <c r="F1" s="52" t="s">
        <v>88</v>
      </c>
      <c r="G1" s="52" t="s">
        <v>134</v>
      </c>
      <c r="H1" s="54"/>
      <c r="I1" s="54"/>
      <c r="J1" s="54"/>
      <c r="K1" s="54"/>
      <c r="L1" s="54"/>
      <c r="M1" s="54"/>
      <c r="N1" s="54"/>
      <c r="O1" s="54"/>
      <c r="P1" s="54" t="str">
        <f>Totals!B2</f>
        <v>Robert</v>
      </c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</row>
    <row r="2">
      <c r="A2" s="17" t="str">
        <f>VLOOKUP(B2,Totals!I:J,2,false)</f>
        <v>Imagine Pope Kiwis III</v>
      </c>
      <c r="B2" s="55" t="s">
        <v>50</v>
      </c>
      <c r="C2" s="56">
        <f t="array" ref="C2">INDEX(Totals!K:K,MATCH(B2,Totals!I:I,0))</f>
        <v>8</v>
      </c>
      <c r="D2" s="17" t="s">
        <v>135</v>
      </c>
      <c r="E2" s="17">
        <v>18.08</v>
      </c>
      <c r="F2" s="17">
        <v>1.0</v>
      </c>
      <c r="G2" s="17">
        <v>10.0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7" t="str">
        <f>VLOOKUP(B3,Totals!I:J,2,false)</f>
        <v>Imagine Pope Kiwis III</v>
      </c>
      <c r="B3" s="55" t="s">
        <v>20</v>
      </c>
      <c r="C3" s="56">
        <f t="array" ref="C3">INDEX(Totals!K:K,MATCH(B3,Totals!I:I,0))</f>
        <v>6</v>
      </c>
      <c r="D3" s="17" t="s">
        <v>135</v>
      </c>
      <c r="E3" s="17">
        <v>18.7</v>
      </c>
      <c r="F3" s="17">
        <v>1.0</v>
      </c>
      <c r="G3" s="17">
        <v>10.0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7" t="str">
        <f>VLOOKUP(B4,Totals!I:J,2,false)</f>
        <v>Robert</v>
      </c>
      <c r="B4" s="57" t="s">
        <v>8</v>
      </c>
      <c r="C4" s="56">
        <f t="array" ref="C4">INDEX(Totals!K:K,MATCH(B4,Totals!I:I,0))</f>
        <v>6</v>
      </c>
      <c r="D4" s="17" t="s">
        <v>135</v>
      </c>
      <c r="E4" s="17">
        <v>21.82</v>
      </c>
      <c r="F4" s="17">
        <v>2.0</v>
      </c>
      <c r="G4" s="17">
        <v>8.0</v>
      </c>
      <c r="H4" s="1"/>
      <c r="I4" s="1"/>
      <c r="J4" s="1"/>
      <c r="K4" s="1"/>
      <c r="L4" s="1"/>
      <c r="M4" s="1"/>
      <c r="N4" s="1"/>
      <c r="O4" s="1"/>
      <c r="P4" s="54" t="str">
        <f>Totals!E2</f>
        <v>Jurassic Chickens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7" t="str">
        <f>VLOOKUP(B5,Totals!I:J,2,false)</f>
        <v>Imagine Pope Kiwis III</v>
      </c>
      <c r="B5" s="55" t="s">
        <v>34</v>
      </c>
      <c r="C5" s="56">
        <f t="array" ref="C5">INDEX(Totals!K:K,MATCH(B5,Totals!I:I,0))</f>
        <v>6</v>
      </c>
      <c r="D5" s="17" t="s">
        <v>136</v>
      </c>
      <c r="E5" s="17">
        <v>18.27</v>
      </c>
      <c r="F5" s="17">
        <v>1.0</v>
      </c>
      <c r="G5" s="17">
        <v>10.0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7" t="str">
        <f>VLOOKUP(B6,Totals!I:J,2,false)</f>
        <v>Jurassic Chickens</v>
      </c>
      <c r="B6" s="17" t="s">
        <v>53</v>
      </c>
      <c r="C6" s="56">
        <f t="array" ref="C6">INDEX(Totals!K:K,MATCH(B6,Totals!I:I,0))</f>
        <v>8</v>
      </c>
      <c r="D6" s="17" t="s">
        <v>136</v>
      </c>
      <c r="E6" s="17">
        <v>16.6</v>
      </c>
      <c r="F6" s="17">
        <v>1.0</v>
      </c>
      <c r="G6" s="17">
        <v>10.0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7" t="str">
        <f>VLOOKUP(B7,Totals!I:J,2,false)</f>
        <v>Red Dead Cheetahs</v>
      </c>
      <c r="B7" s="57" t="s">
        <v>119</v>
      </c>
      <c r="C7" s="56">
        <f t="array" ref="C7">INDEX(Totals!K:K,MATCH(B7,Totals!I:I,0))</f>
        <v>5</v>
      </c>
      <c r="D7" s="17" t="s">
        <v>135</v>
      </c>
      <c r="E7" s="17">
        <v>21.83</v>
      </c>
      <c r="F7" s="17">
        <v>3.0</v>
      </c>
      <c r="G7" s="17">
        <v>6.0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7" t="str">
        <f>VLOOKUP(B8,Totals!I:J,2,false)</f>
        <v>Red Dead Cheetahs</v>
      </c>
      <c r="B8" s="17" t="s">
        <v>40</v>
      </c>
      <c r="C8" s="56">
        <f t="array" ref="C8">INDEX(Totals!K:K,MATCH(B8,Totals!I:I,0))</f>
        <v>8</v>
      </c>
      <c r="D8" s="17" t="s">
        <v>135</v>
      </c>
      <c r="E8" s="17">
        <v>18.17</v>
      </c>
      <c r="F8" s="17">
        <v>2.0</v>
      </c>
      <c r="G8" s="17">
        <v>8.0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7" t="str">
        <f>VLOOKUP(B9,Totals!I:J,2,false)</f>
        <v>Robert</v>
      </c>
      <c r="B9" s="17" t="s">
        <v>82</v>
      </c>
      <c r="C9" s="56">
        <f t="array" ref="C9">INDEX(Totals!K:K,MATCH(B9,Totals!I:I,0))</f>
        <v>7</v>
      </c>
      <c r="D9" s="17" t="s">
        <v>136</v>
      </c>
      <c r="E9" s="17">
        <v>19.03</v>
      </c>
      <c r="F9" s="17">
        <v>2.0</v>
      </c>
      <c r="G9" s="17">
        <v>8.0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7" t="str">
        <f>VLOOKUP(B10,Totals!I:J,2,false)</f>
        <v>Red Dead Cheetahs</v>
      </c>
      <c r="B10" s="57" t="s">
        <v>121</v>
      </c>
      <c r="C10" s="56">
        <f t="array" ref="C10">INDEX(Totals!K:K,MATCH(B10,Totals!I:I,0))</f>
        <v>5</v>
      </c>
      <c r="D10" s="17" t="s">
        <v>136</v>
      </c>
      <c r="E10" s="17">
        <v>22.5</v>
      </c>
      <c r="F10" s="17">
        <v>2.0</v>
      </c>
      <c r="G10" s="17">
        <v>8.0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7" t="str">
        <f>VLOOKUP(B11,Totals!I:J,2,false)</f>
        <v>Red Dead Cheetahs</v>
      </c>
      <c r="B11" s="55" t="s">
        <v>120</v>
      </c>
      <c r="C11" s="56">
        <f t="array" ref="C11">INDEX(Totals!K:K,MATCH(B11,Totals!I:I,0))</f>
        <v>5</v>
      </c>
      <c r="D11" s="17" t="s">
        <v>135</v>
      </c>
      <c r="E11" s="17">
        <v>21.93</v>
      </c>
      <c r="F11" s="17">
        <v>4.0</v>
      </c>
      <c r="G11" s="17">
        <v>4.0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7" t="str">
        <f>VLOOKUP(B12,Totals!I:J,2,false)</f>
        <v>Robert</v>
      </c>
      <c r="B12" s="55" t="s">
        <v>97</v>
      </c>
      <c r="C12" s="56">
        <f t="array" ref="C12">INDEX(Totals!K:K,MATCH(B12,Totals!I:I,0))</f>
        <v>5</v>
      </c>
      <c r="D12" s="17" t="s">
        <v>135</v>
      </c>
      <c r="E12" s="17">
        <v>26.38</v>
      </c>
      <c r="F12" s="17">
        <v>5.0</v>
      </c>
      <c r="G12" s="17">
        <v>2.0</v>
      </c>
      <c r="H12" s="1"/>
      <c r="I12" s="1"/>
      <c r="J12" s="1"/>
      <c r="K12" s="1"/>
      <c r="L12" s="1"/>
      <c r="M12" s="1"/>
      <c r="N12" s="1"/>
      <c r="O12" s="1"/>
      <c r="P12" s="54" t="str">
        <f>Totals!D2</f>
        <v>Red Dead Cheetahs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7" t="str">
        <f>VLOOKUP(B13,Totals!I:J,2,false)</f>
        <v>Robert</v>
      </c>
      <c r="B13" s="57" t="s">
        <v>73</v>
      </c>
      <c r="C13" s="56">
        <f t="array" ref="C13">INDEX(Totals!K:K,MATCH(B13,Totals!I:I,0))</f>
        <v>8</v>
      </c>
      <c r="D13" s="17" t="s">
        <v>135</v>
      </c>
      <c r="E13" s="17">
        <v>19.0</v>
      </c>
      <c r="F13" s="2">
        <v>3.0</v>
      </c>
      <c r="G13" s="2">
        <v>6.0</v>
      </c>
      <c r="H13" s="1"/>
      <c r="I13" s="1"/>
      <c r="J13" s="1"/>
      <c r="K13" s="1"/>
      <c r="L13" s="1"/>
      <c r="M13" s="1"/>
      <c r="N13" s="1"/>
      <c r="O13" s="1"/>
      <c r="P13" s="54" t="str">
        <f>Totals!C2</f>
        <v>Imagine Pope Kiwis III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7" t="str">
        <f>VLOOKUP(B14,Totals!I:J,2,false)</f>
        <v>Imagine Pope Kiwis III</v>
      </c>
      <c r="B14" s="17" t="s">
        <v>101</v>
      </c>
      <c r="C14" s="56">
        <f t="array" ref="C14">INDEX(Totals!K:K,MATCH(B14,Totals!I:I,0))</f>
        <v>8</v>
      </c>
      <c r="D14" s="17" t="s">
        <v>135</v>
      </c>
      <c r="E14" s="17">
        <v>19.07</v>
      </c>
      <c r="F14" s="17">
        <v>4.0</v>
      </c>
      <c r="G14" s="17">
        <v>4.0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7" t="str">
        <f>VLOOKUP(B15,Totals!I:J,2,false)</f>
        <v>Imagine Pope Kiwis III</v>
      </c>
      <c r="B15" s="55" t="s">
        <v>105</v>
      </c>
      <c r="C15" s="56">
        <f t="array" ref="C15">INDEX(Totals!K:K,MATCH(B15,Totals!I:I,0))</f>
        <v>7</v>
      </c>
      <c r="D15" s="17" t="s">
        <v>136</v>
      </c>
      <c r="E15" s="17">
        <v>19.05</v>
      </c>
      <c r="F15" s="17">
        <v>3.0</v>
      </c>
      <c r="G15" s="17">
        <v>6.0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7" t="str">
        <f>VLOOKUP(B16,Totals!I:J,2,false)</f>
        <v>Imagine Pope Kiwis III</v>
      </c>
      <c r="B16" s="17" t="s">
        <v>102</v>
      </c>
      <c r="C16" s="56">
        <f t="array" ref="C16">INDEX(Totals!K:K,MATCH(B16,Totals!I:I,0))</f>
        <v>8</v>
      </c>
      <c r="D16" s="17" t="s">
        <v>136</v>
      </c>
      <c r="E16" s="17">
        <v>19.36</v>
      </c>
      <c r="F16" s="17">
        <v>4.0</v>
      </c>
      <c r="G16" s="17">
        <v>4.0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7" t="str">
        <f>VLOOKUP(B17,Totals!I:J,2,false)</f>
        <v>Imagine Pope Kiwis III</v>
      </c>
      <c r="B17" s="57" t="s">
        <v>104</v>
      </c>
      <c r="C17" s="56">
        <f t="array" ref="C17">INDEX(Totals!K:K,MATCH(B17,Totals!I:I,0))</f>
        <v>8</v>
      </c>
      <c r="D17" s="17" t="s">
        <v>136</v>
      </c>
      <c r="E17" s="17">
        <v>19.54</v>
      </c>
      <c r="F17" s="17">
        <v>5.0</v>
      </c>
      <c r="G17" s="17">
        <v>2.0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7" t="str">
        <f>VLOOKUP(B18,Totals!I:J,2,false)</f>
        <v>Jurassic Chickens</v>
      </c>
      <c r="B18" s="58" t="s">
        <v>123</v>
      </c>
      <c r="C18" s="56">
        <f t="array" ref="C18">INDEX(Totals!K:K,MATCH(B18,Totals!I:I,0))</f>
        <v>8</v>
      </c>
      <c r="D18" s="17" t="s">
        <v>135</v>
      </c>
      <c r="E18" s="17">
        <v>19.17</v>
      </c>
      <c r="F18" s="17">
        <v>5.0</v>
      </c>
      <c r="G18" s="17">
        <v>2.0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7" t="str">
        <f>VLOOKUP(B19,Totals!I:J,2,false)</f>
        <v>Robert</v>
      </c>
      <c r="B19" s="17" t="s">
        <v>79</v>
      </c>
      <c r="C19" s="56">
        <f t="array" ref="C19">INDEX(Totals!K:K,MATCH(B19,Totals!I:I,0))</f>
        <v>8</v>
      </c>
      <c r="D19" s="17" t="s">
        <v>136</v>
      </c>
      <c r="E19" s="17">
        <v>20.8</v>
      </c>
      <c r="F19" s="17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7" t="str">
        <f>VLOOKUP(B20,Totals!I:J,2,false)</f>
        <v>Red Dead Cheetahs</v>
      </c>
      <c r="B20" s="55" t="s">
        <v>49</v>
      </c>
      <c r="C20" s="56">
        <f t="array" ref="C20">INDEX(Totals!K:K,MATCH(B20,Totals!I:I,0))</f>
        <v>7</v>
      </c>
      <c r="D20" s="17" t="s">
        <v>135</v>
      </c>
      <c r="E20" s="17">
        <v>26.38</v>
      </c>
      <c r="F20" s="17"/>
      <c r="G20" s="1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7" t="str">
        <f>VLOOKUP(B21,Totals!I:J,2,false)</f>
        <v>Red Dead Cheetahs</v>
      </c>
      <c r="B21" s="57" t="s">
        <v>115</v>
      </c>
      <c r="C21" s="56">
        <f t="array" ref="C21">INDEX(Totals!K:K,MATCH(B21,Totals!I:I,0))</f>
        <v>7</v>
      </c>
      <c r="D21" s="17" t="s">
        <v>136</v>
      </c>
      <c r="E21" s="17">
        <v>22.0</v>
      </c>
      <c r="F21" s="17"/>
      <c r="G21" s="17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</row>
    <row r="22">
      <c r="A22" s="17"/>
      <c r="B22" s="1"/>
      <c r="C22" s="5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52" t="s">
        <v>64</v>
      </c>
      <c r="B23" s="52" t="s">
        <v>78</v>
      </c>
      <c r="C23" s="53" t="s">
        <v>65</v>
      </c>
      <c r="D23" s="52" t="s">
        <v>132</v>
      </c>
      <c r="E23" s="52" t="s">
        <v>133</v>
      </c>
      <c r="F23" s="52" t="s">
        <v>88</v>
      </c>
      <c r="G23" s="52" t="s">
        <v>134</v>
      </c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</row>
    <row r="24">
      <c r="A24" s="17" t="str">
        <f>VLOOKUP(B24,Totals!I:J,2,false)</f>
        <v>Red Dead Cheetahs</v>
      </c>
      <c r="B24" s="55" t="s">
        <v>114</v>
      </c>
      <c r="C24" s="56">
        <f t="array" ref="C24">INDEX(Totals!K:K,MATCH(B24,Totals!I:I,0))</f>
        <v>8</v>
      </c>
      <c r="D24" s="17" t="s">
        <v>136</v>
      </c>
      <c r="E24" s="17">
        <v>29.1</v>
      </c>
      <c r="F24" s="17">
        <v>1.0</v>
      </c>
      <c r="G24" s="17">
        <v>10.0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7" t="str">
        <f>VLOOKUP(B25,Totals!I:J,2,false)</f>
        <v>Jurassic Chickens</v>
      </c>
      <c r="B25" s="57" t="s">
        <v>131</v>
      </c>
      <c r="C25" s="56">
        <f t="array" ref="C25">INDEX(Totals!K:K,MATCH(B25,Totals!I:I,0))</f>
        <v>5</v>
      </c>
      <c r="D25" s="17" t="s">
        <v>135</v>
      </c>
      <c r="E25" s="17">
        <v>31.33</v>
      </c>
      <c r="F25" s="17">
        <v>1.0</v>
      </c>
      <c r="G25" s="17">
        <v>10.0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7" t="str">
        <f>VLOOKUP(B26,Totals!I:J,2,false)</f>
        <v>Jurassic Chickens</v>
      </c>
      <c r="B26" s="17" t="s">
        <v>53</v>
      </c>
      <c r="C26" s="56">
        <f t="array" ref="C26">INDEX(Totals!K:K,MATCH(B26,Totals!I:I,0))</f>
        <v>8</v>
      </c>
      <c r="D26" s="17" t="s">
        <v>136</v>
      </c>
      <c r="E26" s="17">
        <v>31.03</v>
      </c>
      <c r="F26" s="17">
        <v>2.0</v>
      </c>
      <c r="G26" s="17">
        <v>8.0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7" t="str">
        <f>VLOOKUP(B27,Totals!I:J,2,false)</f>
        <v>Robert</v>
      </c>
      <c r="B27" s="55" t="s">
        <v>7</v>
      </c>
      <c r="C27" s="56">
        <f t="array" ref="C27">INDEX(Totals!K:K,MATCH(B27,Totals!I:I,0))</f>
        <v>6</v>
      </c>
      <c r="D27" s="17" t="s">
        <v>135</v>
      </c>
      <c r="E27" s="17">
        <v>31.35</v>
      </c>
      <c r="F27" s="17">
        <v>2.0</v>
      </c>
      <c r="G27" s="17">
        <v>8.0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7" t="str">
        <f>VLOOKUP(B28,Totals!I:J,2,false)</f>
        <v>Imagine Pope Kiwis III</v>
      </c>
      <c r="B28" s="57" t="s">
        <v>20</v>
      </c>
      <c r="C28" s="56">
        <f t="array" ref="C28">INDEX(Totals!K:K,MATCH(B28,Totals!I:I,0))</f>
        <v>6</v>
      </c>
      <c r="D28" s="17" t="s">
        <v>135</v>
      </c>
      <c r="E28" s="17">
        <v>34.55</v>
      </c>
      <c r="F28" s="17">
        <v>3.0</v>
      </c>
      <c r="G28" s="17">
        <v>6.0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7" t="str">
        <f>VLOOKUP(B29,Totals!I:J,2,false)</f>
        <v>Jurassic Chickens</v>
      </c>
      <c r="B29" s="57" t="s">
        <v>126</v>
      </c>
      <c r="C29" s="56">
        <f t="array" ref="C29">INDEX(Totals!K:K,MATCH(B29,Totals!I:I,0))</f>
        <v>6</v>
      </c>
      <c r="D29" s="17" t="s">
        <v>135</v>
      </c>
      <c r="E29" s="17">
        <v>37.01</v>
      </c>
      <c r="F29" s="17">
        <v>4.0</v>
      </c>
      <c r="G29" s="17">
        <v>4.0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7" t="str">
        <f>VLOOKUP(B30,Totals!I:J,2,false)</f>
        <v>Imagine Pope Kiwis III</v>
      </c>
      <c r="B30" s="55" t="s">
        <v>50</v>
      </c>
      <c r="C30" s="56">
        <f t="array" ref="C30">INDEX(Totals!K:K,MATCH(B30,Totals!I:I,0))</f>
        <v>8</v>
      </c>
      <c r="D30" s="17" t="s">
        <v>135</v>
      </c>
      <c r="E30" s="17">
        <v>31.4</v>
      </c>
      <c r="F30" s="17">
        <v>1.0</v>
      </c>
      <c r="G30" s="17">
        <v>10.0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7" t="str">
        <f>VLOOKUP(B31,Totals!I:J,2,false)</f>
        <v>Red Dead Cheetahs</v>
      </c>
      <c r="B31" s="55" t="s">
        <v>120</v>
      </c>
      <c r="C31" s="56">
        <f t="array" ref="C31">INDEX(Totals!K:K,MATCH(B31,Totals!I:I,0))</f>
        <v>5</v>
      </c>
      <c r="D31" s="17" t="s">
        <v>135</v>
      </c>
      <c r="E31" s="17">
        <v>40.0</v>
      </c>
      <c r="F31" s="17">
        <v>5.0</v>
      </c>
      <c r="G31" s="17">
        <v>2.0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7" t="str">
        <f>VLOOKUP(B32,Totals!I:J,2,false)</f>
        <v>Imagine Pope Kiwis III</v>
      </c>
      <c r="B32" s="55" t="s">
        <v>105</v>
      </c>
      <c r="C32" s="56">
        <v>8.0</v>
      </c>
      <c r="D32" s="17" t="s">
        <v>136</v>
      </c>
      <c r="E32" s="17">
        <v>31.04</v>
      </c>
      <c r="F32" s="17">
        <v>3.0</v>
      </c>
      <c r="G32" s="17">
        <v>6.0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7" t="str">
        <f>VLOOKUP(B33,Totals!I:J,2,false)</f>
        <v>Imagine Pope Kiwis III</v>
      </c>
      <c r="B33" s="55" t="s">
        <v>34</v>
      </c>
      <c r="C33" s="56">
        <f t="array" ref="C33">INDEX(Totals!K:K,MATCH(B33,Totals!I:I,0))</f>
        <v>6</v>
      </c>
      <c r="D33" s="17" t="s">
        <v>136</v>
      </c>
      <c r="E33" s="17">
        <v>33.1</v>
      </c>
      <c r="F33" s="17">
        <v>1.0</v>
      </c>
      <c r="G33" s="17">
        <v>10.0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7" t="str">
        <f>VLOOKUP(B34,Totals!I:J,2,false)</f>
        <v>Red Dead Cheetahs</v>
      </c>
      <c r="B34" s="57" t="s">
        <v>121</v>
      </c>
      <c r="C34" s="56">
        <f t="array" ref="C34">INDEX(Totals!K:K,MATCH(B34,Totals!I:I,0))</f>
        <v>5</v>
      </c>
      <c r="D34" s="17" t="s">
        <v>136</v>
      </c>
      <c r="E34" s="17">
        <v>36.0</v>
      </c>
      <c r="F34" s="17">
        <v>2.0</v>
      </c>
      <c r="G34" s="17">
        <v>8.0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7" t="str">
        <f>VLOOKUP(B35,Totals!I:J,2,false)</f>
        <v>Robert</v>
      </c>
      <c r="B35" s="57" t="s">
        <v>82</v>
      </c>
      <c r="C35" s="56">
        <f t="array" ref="C35">INDEX(Totals!K:K,MATCH(B35,Totals!I:I,0))</f>
        <v>7</v>
      </c>
      <c r="D35" s="17" t="s">
        <v>136</v>
      </c>
      <c r="E35" s="17">
        <v>31.19</v>
      </c>
      <c r="F35" s="17">
        <v>4.0</v>
      </c>
      <c r="G35" s="17">
        <v>4.0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7" t="str">
        <f>VLOOKUP(B36,Totals!I:J,2,false)</f>
        <v>Jurassic Chickens</v>
      </c>
      <c r="B36" s="57" t="s">
        <v>130</v>
      </c>
      <c r="C36" s="56">
        <f t="array" ref="C36">INDEX(Totals!K:K,MATCH(B36,Totals!I:I,0))</f>
        <v>5</v>
      </c>
      <c r="D36" s="17" t="s">
        <v>136</v>
      </c>
      <c r="E36" s="17">
        <v>36.9</v>
      </c>
      <c r="F36" s="17">
        <v>3.0</v>
      </c>
      <c r="G36" s="17">
        <v>6.0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7" t="str">
        <f>VLOOKUP(B37,Totals!I:J,2,false)</f>
        <v>Red Dead Cheetahs</v>
      </c>
      <c r="B37" s="57" t="s">
        <v>119</v>
      </c>
      <c r="C37" s="56">
        <f t="array" ref="C37">INDEX(Totals!K:K,MATCH(B37,Totals!I:I,0))</f>
        <v>5</v>
      </c>
      <c r="D37" s="17" t="s">
        <v>135</v>
      </c>
      <c r="E37" s="17">
        <v>40.46</v>
      </c>
      <c r="F37" s="17"/>
      <c r="G37" s="1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7" t="str">
        <f>VLOOKUP(B38,Totals!I:J,2,false)</f>
        <v>Imagine Pope Kiwis III</v>
      </c>
      <c r="B38" s="57" t="s">
        <v>102</v>
      </c>
      <c r="C38" s="56">
        <f t="array" ref="C38">INDEX(Totals!K:K,MATCH(B38,Totals!I:I,0))</f>
        <v>8</v>
      </c>
      <c r="D38" s="17" t="s">
        <v>136</v>
      </c>
      <c r="E38" s="17">
        <v>32.88</v>
      </c>
      <c r="F38" s="17">
        <v>5.0</v>
      </c>
      <c r="G38" s="17">
        <v>2.0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7" t="str">
        <f>VLOOKUP(B39,Totals!I:J,2,false)</f>
        <v>Robert</v>
      </c>
      <c r="B39" s="55" t="s">
        <v>8</v>
      </c>
      <c r="C39" s="56">
        <f t="array" ref="C39">INDEX(Totals!K:K,MATCH(B39,Totals!I:I,0))</f>
        <v>6</v>
      </c>
      <c r="D39" s="17" t="s">
        <v>135</v>
      </c>
      <c r="E39" s="17">
        <v>41.61</v>
      </c>
      <c r="F39" s="1"/>
      <c r="G39" s="1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7" t="str">
        <f>VLOOKUP(B40,Totals!I:J,2,false)</f>
        <v>Imagine Pope Kiwis III</v>
      </c>
      <c r="B40" s="57" t="s">
        <v>104</v>
      </c>
      <c r="C40" s="56">
        <f t="array" ref="C40">INDEX(Totals!K:K,MATCH(B40,Totals!I:I,0))</f>
        <v>8</v>
      </c>
      <c r="D40" s="17" t="s">
        <v>136</v>
      </c>
      <c r="E40" s="17">
        <v>33.66</v>
      </c>
      <c r="F40" s="17">
        <v>6.0</v>
      </c>
      <c r="G40" s="1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7" t="str">
        <f>VLOOKUP(B41,Totals!I:J,2,false)</f>
        <v>Jurassic Chickens</v>
      </c>
      <c r="B41" s="57" t="s">
        <v>10</v>
      </c>
      <c r="C41" s="56">
        <f t="array" ref="C41">INDEX(Totals!K:K,MATCH(B41,Totals!I:I,0))</f>
        <v>7</v>
      </c>
      <c r="D41" s="17" t="s">
        <v>136</v>
      </c>
      <c r="E41" s="17">
        <v>34.09</v>
      </c>
      <c r="F41" s="17">
        <v>7.0</v>
      </c>
      <c r="G41" s="1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7" t="str">
        <f>VLOOKUP(B42,Totals!I:J,2,false)</f>
        <v>Robert</v>
      </c>
      <c r="B42" s="17" t="s">
        <v>12</v>
      </c>
      <c r="C42" s="56">
        <f t="array" ref="C42">INDEX(Totals!K:K,MATCH(B42,Totals!I:I,0))</f>
        <v>8</v>
      </c>
      <c r="D42" s="17" t="s">
        <v>135</v>
      </c>
      <c r="E42" s="17">
        <v>32.84</v>
      </c>
      <c r="F42" s="17">
        <v>2.0</v>
      </c>
      <c r="G42" s="17">
        <v>8.0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7" t="str">
        <f>VLOOKUP(B43,Totals!I:J,2,false)</f>
        <v>Robert</v>
      </c>
      <c r="B43" s="55" t="s">
        <v>24</v>
      </c>
      <c r="C43" s="56">
        <f t="array" ref="C43">INDEX(Totals!K:K,MATCH(B43,Totals!I:I,0))</f>
        <v>7</v>
      </c>
      <c r="D43" s="17" t="s">
        <v>136</v>
      </c>
      <c r="E43" s="17">
        <v>34.16</v>
      </c>
      <c r="F43" s="17">
        <v>8.0</v>
      </c>
      <c r="G43" s="1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7" t="str">
        <f>VLOOKUP(B44,Totals!I:J,2,false)</f>
        <v>Robert</v>
      </c>
      <c r="B44" s="17" t="s">
        <v>73</v>
      </c>
      <c r="C44" s="56">
        <f t="array" ref="C44">INDEX(Totals!K:K,MATCH(B44,Totals!I:I,0))</f>
        <v>8</v>
      </c>
      <c r="D44" s="17" t="s">
        <v>135</v>
      </c>
      <c r="E44" s="17">
        <v>34.7</v>
      </c>
      <c r="F44" s="17">
        <v>3.0</v>
      </c>
      <c r="G44" s="17">
        <v>6.0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7" t="str">
        <f>VLOOKUP(B45,Totals!I:J,2,false)</f>
        <v>Red Dead Cheetahs</v>
      </c>
      <c r="B45" s="55" t="s">
        <v>116</v>
      </c>
      <c r="C45" s="56">
        <f t="array" ref="C45">INDEX(Totals!K:K,MATCH(B45,Totals!I:I,0))</f>
        <v>7</v>
      </c>
      <c r="D45" s="17" t="s">
        <v>136</v>
      </c>
      <c r="E45" s="17">
        <v>34.76</v>
      </c>
      <c r="F45" s="17">
        <v>9.0</v>
      </c>
      <c r="G45" s="1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7" t="str">
        <f>VLOOKUP(B46,Totals!I:J,2,false)</f>
        <v>Imagine Pope Kiwis III</v>
      </c>
      <c r="B46" s="55" t="s">
        <v>109</v>
      </c>
      <c r="C46" s="56">
        <f t="array" ref="C46">INDEX(Totals!K:K,MATCH(B46,Totals!I:I,0))</f>
        <v>5</v>
      </c>
      <c r="D46" s="17" t="s">
        <v>136</v>
      </c>
      <c r="E46" s="17">
        <v>42.13</v>
      </c>
      <c r="F46" s="17">
        <v>4.0</v>
      </c>
      <c r="G46" s="17">
        <v>4.0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7" t="str">
        <f>VLOOKUP(B47,Totals!I:J,2,false)</f>
        <v>Jurassic Chickens</v>
      </c>
      <c r="B47" s="17" t="s">
        <v>129</v>
      </c>
      <c r="C47" s="56">
        <f t="array" ref="C47">INDEX(Totals!K:K,MATCH(B47,Totals!I:I,0))</f>
        <v>5</v>
      </c>
      <c r="D47" s="17" t="s">
        <v>135</v>
      </c>
      <c r="E47" s="17">
        <v>42.13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7" t="str">
        <f>VLOOKUP(B48,Totals!I:J,2,false)</f>
        <v>Robert</v>
      </c>
      <c r="B48" s="55" t="s">
        <v>97</v>
      </c>
      <c r="C48" s="56">
        <f t="array" ref="C48">INDEX(Totals!K:K,MATCH(B48,Totals!I:I,0))</f>
        <v>5</v>
      </c>
      <c r="D48" s="17" t="s">
        <v>135</v>
      </c>
      <c r="E48" s="17">
        <v>43.47</v>
      </c>
      <c r="F48" s="17"/>
      <c r="G48" s="1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7" t="str">
        <f>VLOOKUP(B49,Totals!I:J,2,false)</f>
        <v>Jurassic Chickens</v>
      </c>
      <c r="B49" s="57" t="s">
        <v>125</v>
      </c>
      <c r="C49" s="56">
        <f t="array" ref="C49">INDEX(Totals!K:K,MATCH(B49,Totals!I:I,0))</f>
        <v>6</v>
      </c>
      <c r="D49" s="17" t="s">
        <v>136</v>
      </c>
      <c r="E49" s="17"/>
      <c r="F49" s="17"/>
      <c r="G49" s="1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7" t="str">
        <f>VLOOKUP(B50,Totals!I:J,2,false)</f>
        <v>Jurassic Chickens</v>
      </c>
      <c r="B50" s="17" t="s">
        <v>123</v>
      </c>
      <c r="C50" s="56">
        <f t="array" ref="C50">INDEX(Totals!K:K,MATCH(B50,Totals!I:I,0))</f>
        <v>8</v>
      </c>
      <c r="D50" s="17" t="s">
        <v>135</v>
      </c>
      <c r="E50" s="17">
        <v>35.13</v>
      </c>
      <c r="F50" s="17">
        <v>4.0</v>
      </c>
      <c r="G50" s="17">
        <v>4.0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7" t="str">
        <f>VLOOKUP(B51,Totals!I:J,2,false)</f>
        <v>Robert</v>
      </c>
      <c r="B51" s="17" t="s">
        <v>84</v>
      </c>
      <c r="C51" s="56">
        <f t="array" ref="C51">INDEX(Totals!K:K,MATCH(B51,Totals!I:I,0))</f>
        <v>7</v>
      </c>
      <c r="D51" s="17" t="s">
        <v>135</v>
      </c>
      <c r="E51" s="17">
        <v>36.9</v>
      </c>
      <c r="F51" s="17">
        <v>5.0</v>
      </c>
      <c r="G51" s="17">
        <v>2.0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7" t="str">
        <f>VLOOKUP(B52,Totals!I:J,2,false)</f>
        <v>Red Dead Cheetahs</v>
      </c>
      <c r="B52" s="57" t="s">
        <v>118</v>
      </c>
      <c r="C52" s="56">
        <v>8.0</v>
      </c>
      <c r="D52" s="17" t="s">
        <v>136</v>
      </c>
      <c r="E52" s="17">
        <v>36.12</v>
      </c>
      <c r="F52" s="17">
        <v>10.0</v>
      </c>
      <c r="G52" s="1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7" t="str">
        <f>VLOOKUP(B53,Totals!I:J,2,false)</f>
        <v>Red Dead Cheetahs</v>
      </c>
      <c r="B53" s="55" t="s">
        <v>49</v>
      </c>
      <c r="C53" s="56">
        <f t="array" ref="C53">INDEX(Totals!K:K,MATCH(B53,Totals!I:I,0))</f>
        <v>7</v>
      </c>
      <c r="D53" s="17" t="s">
        <v>135</v>
      </c>
      <c r="E53" s="17"/>
      <c r="F53" s="17"/>
      <c r="G53" s="1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7" t="str">
        <f>VLOOKUP(B54,Totals!I:J,2,false)</f>
        <v>Red Dead Cheetahs</v>
      </c>
      <c r="B54" s="55" t="s">
        <v>112</v>
      </c>
      <c r="C54" s="56">
        <f t="array" ref="C54">INDEX(Totals!K:K,MATCH(B54,Totals!I:I,0))</f>
        <v>8</v>
      </c>
      <c r="D54" s="17" t="s">
        <v>136</v>
      </c>
      <c r="E54" s="17"/>
      <c r="F54" s="17"/>
      <c r="G54" s="1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7" t="str">
        <f>VLOOKUP(B55,Totals!I:J,2,false)</f>
        <v>Robert</v>
      </c>
      <c r="B55" s="57" t="s">
        <v>93</v>
      </c>
      <c r="C55" s="56">
        <f t="array" ref="C55">INDEX(Totals!K:K,MATCH(B55,Totals!I:I,0))</f>
        <v>5</v>
      </c>
      <c r="D55" s="17" t="s">
        <v>135</v>
      </c>
      <c r="E55" s="17">
        <v>43.93</v>
      </c>
      <c r="F55" s="1"/>
      <c r="G55" s="1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7" t="str">
        <f>VLOOKUP(B56,Totals!I:J,2,false)</f>
        <v>Imagine Pope Kiwis III</v>
      </c>
      <c r="B56" s="17" t="s">
        <v>103</v>
      </c>
      <c r="C56" s="56">
        <f t="array" ref="C56">INDEX(Totals!K:K,MATCH(B56,Totals!I:I,0))</f>
        <v>8</v>
      </c>
      <c r="D56" s="17" t="s">
        <v>136</v>
      </c>
      <c r="E56" s="17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7" t="str">
        <f>VLOOKUP(B57,Totals!I:J,2,false)</f>
        <v>Imagine Pope Kiwis III</v>
      </c>
      <c r="B57" s="17" t="s">
        <v>110</v>
      </c>
      <c r="C57" s="56">
        <f t="array" ref="C57">INDEX(Totals!K:K,MATCH(B57,Totals!I:I,0))</f>
        <v>5</v>
      </c>
      <c r="D57" s="17" t="s">
        <v>135</v>
      </c>
      <c r="E57" s="17">
        <v>49.58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7" t="str">
        <f>VLOOKUP(B58,Totals!I:J,2,false)</f>
        <v>Jurassic Chickens</v>
      </c>
      <c r="B58" s="57" t="s">
        <v>36</v>
      </c>
      <c r="C58" s="56">
        <f t="array" ref="C58">INDEX(Totals!K:K,MATCH(B58,Totals!I:I,0))</f>
        <v>7</v>
      </c>
      <c r="D58" s="17" t="s">
        <v>135</v>
      </c>
      <c r="E58" s="17"/>
      <c r="F58" s="17"/>
      <c r="G58" s="1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7" t="str">
        <f>VLOOKUP(B59,Totals!I:J,2,false)</f>
        <v>Jurassic Chickens</v>
      </c>
      <c r="B59" s="57" t="s">
        <v>27</v>
      </c>
      <c r="C59" s="56">
        <f t="array" ref="C59">INDEX(Totals!K:K,MATCH(B59,Totals!I:I,0))</f>
        <v>8</v>
      </c>
      <c r="D59" s="17" t="s">
        <v>135</v>
      </c>
      <c r="E59" s="17"/>
      <c r="F59" s="17"/>
      <c r="G59" s="1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7" t="str">
        <f>VLOOKUP(B60,Totals!I:J,2,false)</f>
        <v>Red Dead Cheetahs</v>
      </c>
      <c r="B60" s="55" t="s">
        <v>113</v>
      </c>
      <c r="C60" s="56">
        <f t="array" ref="C60">INDEX(Totals!K:K,MATCH(B60,Totals!I:I,0))</f>
        <v>8</v>
      </c>
      <c r="D60" s="17" t="s">
        <v>135</v>
      </c>
      <c r="E60" s="17"/>
      <c r="F60" s="17"/>
      <c r="G60" s="1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7"/>
      <c r="B61" s="17"/>
      <c r="C61" s="56"/>
      <c r="D61" s="17"/>
      <c r="E61" s="17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52" t="s">
        <v>64</v>
      </c>
      <c r="B62" s="52" t="s">
        <v>80</v>
      </c>
      <c r="C62" s="53" t="s">
        <v>65</v>
      </c>
      <c r="D62" s="52" t="s">
        <v>132</v>
      </c>
      <c r="E62" s="52" t="s">
        <v>133</v>
      </c>
      <c r="F62" s="52" t="s">
        <v>88</v>
      </c>
      <c r="G62" s="52" t="s">
        <v>134</v>
      </c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</row>
    <row r="63">
      <c r="A63" s="17" t="str">
        <f>VLOOKUP(B63,Totals!I:J,2,false)</f>
        <v>Robert</v>
      </c>
      <c r="B63" s="55" t="s">
        <v>11</v>
      </c>
      <c r="C63" s="56">
        <f t="array" ref="C63">INDEX(Totals!K:K,MATCH(B63,Totals!I:I,0))</f>
        <v>6</v>
      </c>
      <c r="D63" s="17" t="s">
        <v>136</v>
      </c>
      <c r="E63" s="60">
        <v>0.11944444444444445</v>
      </c>
      <c r="F63" s="17">
        <v>1.0</v>
      </c>
      <c r="G63" s="17">
        <v>10.0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7" t="str">
        <f>VLOOKUP(B64,Totals!I:J,2,false)</f>
        <v>Imagine Pope Kiwis III</v>
      </c>
      <c r="B64" s="55" t="s">
        <v>20</v>
      </c>
      <c r="C64" s="56">
        <f t="array" ref="C64">INDEX(Totals!K:K,MATCH(B64,Totals!I:I,0))</f>
        <v>6</v>
      </c>
      <c r="D64" s="17" t="s">
        <v>135</v>
      </c>
      <c r="E64" s="17" t="s">
        <v>137</v>
      </c>
      <c r="F64" s="17">
        <v>2.0</v>
      </c>
      <c r="G64" s="17">
        <v>8.0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7" t="str">
        <f>VLOOKUP(B65,Totals!I:J,2,false)</f>
        <v>Robert</v>
      </c>
      <c r="B65" s="57" t="s">
        <v>91</v>
      </c>
      <c r="C65" s="56">
        <f t="array" ref="C65">INDEX(Totals!K:K,MATCH(B65,Totals!I:I,0))</f>
        <v>5</v>
      </c>
      <c r="D65" s="17" t="s">
        <v>136</v>
      </c>
      <c r="E65" s="60">
        <v>0.14444444444444443</v>
      </c>
      <c r="F65" s="17">
        <v>2.0</v>
      </c>
      <c r="G65" s="17">
        <v>8.0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7" t="str">
        <f>VLOOKUP(B66,Totals!I:J,2,false)</f>
        <v>Jurassic Chickens</v>
      </c>
      <c r="B66" s="57" t="s">
        <v>52</v>
      </c>
      <c r="C66" s="56">
        <f t="array" ref="C66">INDEX(Totals!K:K,MATCH(B66,Totals!I:I,0))</f>
        <v>8</v>
      </c>
      <c r="D66" s="17" t="s">
        <v>136</v>
      </c>
      <c r="E66" s="60">
        <v>0.1111111111111111</v>
      </c>
      <c r="F66" s="17">
        <v>1.0</v>
      </c>
      <c r="G66" s="17">
        <v>10.0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7" t="str">
        <f>VLOOKUP(B67,Totals!I:J,2,false)</f>
        <v>Robert</v>
      </c>
      <c r="B67" s="57" t="s">
        <v>76</v>
      </c>
      <c r="C67" s="56">
        <f t="array" ref="C67">INDEX(Totals!K:K,MATCH(B67,Totals!I:I,0))</f>
        <v>8</v>
      </c>
      <c r="D67" s="17" t="s">
        <v>136</v>
      </c>
      <c r="E67" s="60">
        <v>0.11527777777777778</v>
      </c>
      <c r="F67" s="17">
        <v>2.0</v>
      </c>
      <c r="G67" s="17">
        <v>8.0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7" t="str">
        <f>VLOOKUP(B68,Totals!I:J,2,false)</f>
        <v>Imagine Pope Kiwis III</v>
      </c>
      <c r="B68" s="55" t="s">
        <v>101</v>
      </c>
      <c r="C68" s="56">
        <f t="array" ref="C68">INDEX(Totals!K:K,MATCH(B68,Totals!I:I,0))</f>
        <v>8</v>
      </c>
      <c r="D68" s="17" t="s">
        <v>135</v>
      </c>
      <c r="E68" s="17" t="s">
        <v>138</v>
      </c>
      <c r="F68" s="17">
        <v>2.0</v>
      </c>
      <c r="G68" s="17">
        <v>8.0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7" t="str">
        <f>VLOOKUP(B69,Totals!I:J,2,false)</f>
        <v>Imagine Pope Kiwis III</v>
      </c>
      <c r="B69" s="55" t="s">
        <v>14</v>
      </c>
      <c r="C69" s="56">
        <f t="array" ref="C69">INDEX(Totals!K:K,MATCH(B69,Totals!I:I,0))</f>
        <v>8</v>
      </c>
      <c r="D69" s="17" t="s">
        <v>135</v>
      </c>
      <c r="E69" s="17" t="s">
        <v>139</v>
      </c>
      <c r="F69" s="17">
        <v>1.0</v>
      </c>
      <c r="G69" s="17">
        <v>10.0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7" t="str">
        <f>VLOOKUP(B70,Totals!I:J,2,false)</f>
        <v>Imagine Pope Kiwis III</v>
      </c>
      <c r="B70" s="57" t="s">
        <v>102</v>
      </c>
      <c r="C70" s="56">
        <f t="array" ref="C70">INDEX(Totals!K:K,MATCH(B70,Totals!I:I,0))</f>
        <v>8</v>
      </c>
      <c r="D70" s="17" t="s">
        <v>136</v>
      </c>
      <c r="E70" s="60">
        <v>0.14305555555555555</v>
      </c>
      <c r="F70" s="17">
        <v>5.0</v>
      </c>
      <c r="G70" s="17">
        <v>2.0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7" t="str">
        <f>VLOOKUP(B71,Totals!I:J,2,false)</f>
        <v>Jurassic Chickens</v>
      </c>
      <c r="B71" s="57" t="s">
        <v>131</v>
      </c>
      <c r="C71" s="56">
        <f t="array" ref="C71">INDEX(Totals!K:K,MATCH(B71,Totals!I:I,0))</f>
        <v>5</v>
      </c>
      <c r="D71" s="17" t="s">
        <v>135</v>
      </c>
      <c r="E71" s="17" t="s">
        <v>140</v>
      </c>
      <c r="F71" s="17">
        <v>1.0</v>
      </c>
      <c r="G71" s="17">
        <v>10.0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7" t="str">
        <f>VLOOKUP(B72,Totals!I:J,2,false)</f>
        <v>Imagine Pope Kiwis III</v>
      </c>
      <c r="B72" s="57" t="s">
        <v>111</v>
      </c>
      <c r="C72" s="56">
        <f t="array" ref="C72">INDEX(Totals!K:K,MATCH(B72,Totals!I:I,0))</f>
        <v>5</v>
      </c>
      <c r="D72" s="17" t="s">
        <v>136</v>
      </c>
      <c r="E72" s="60">
        <v>0.15416666666666667</v>
      </c>
      <c r="F72" s="17">
        <v>3.0</v>
      </c>
      <c r="G72" s="17">
        <v>6.0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7" t="str">
        <f>VLOOKUP(B73,Totals!I:J,2,false)</f>
        <v>Jurassic Chickens</v>
      </c>
      <c r="B73" s="57" t="s">
        <v>129</v>
      </c>
      <c r="C73" s="56">
        <f t="array" ref="C73">INDEX(Totals!K:K,MATCH(B73,Totals!I:I,0))</f>
        <v>5</v>
      </c>
      <c r="D73" s="17" t="s">
        <v>136</v>
      </c>
      <c r="E73" s="60">
        <v>0.15694444444444444</v>
      </c>
      <c r="F73" s="17">
        <v>4.0</v>
      </c>
      <c r="G73" s="17">
        <v>4.0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7" t="str">
        <f>VLOOKUP(B74,Totals!I:J,2,false)</f>
        <v>Imagine Pope Kiwis III</v>
      </c>
      <c r="B74" s="55" t="s">
        <v>34</v>
      </c>
      <c r="C74" s="56">
        <f t="array" ref="C74">INDEX(Totals!K:K,MATCH(B74,Totals!I:I,0))</f>
        <v>6</v>
      </c>
      <c r="D74" s="17" t="s">
        <v>136</v>
      </c>
      <c r="E74" s="60">
        <v>0.15833333333333333</v>
      </c>
      <c r="F74" s="17">
        <v>5.0</v>
      </c>
      <c r="G74" s="17">
        <v>2.0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7" t="str">
        <f>VLOOKUP(B75,Totals!I:J,2,false)</f>
        <v>Red Dead Cheetahs</v>
      </c>
      <c r="B75" s="57" t="s">
        <v>115</v>
      </c>
      <c r="C75" s="56">
        <f t="array" ref="C75">INDEX(Totals!K:K,MATCH(B75,Totals!I:I,0))</f>
        <v>7</v>
      </c>
      <c r="D75" s="17" t="s">
        <v>136</v>
      </c>
      <c r="E75" s="60">
        <v>0.14583333333333334</v>
      </c>
      <c r="F75" s="17"/>
      <c r="G75" s="1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7" t="str">
        <f>VLOOKUP(B76,Totals!I:J,2,false)</f>
        <v>Jurassic Chickens</v>
      </c>
      <c r="B76" s="57" t="s">
        <v>124</v>
      </c>
      <c r="C76" s="56">
        <f t="array" ref="C76">INDEX(Totals!K:K,MATCH(B76,Totals!I:I,0))</f>
        <v>7</v>
      </c>
      <c r="D76" s="17" t="s">
        <v>135</v>
      </c>
      <c r="E76" s="17" t="s">
        <v>141</v>
      </c>
      <c r="F76" s="17">
        <v>4.0</v>
      </c>
      <c r="G76" s="17">
        <v>4.0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7" t="str">
        <f>VLOOKUP(B77,Totals!I:J,2,false)</f>
        <v>Jurassic Chickens</v>
      </c>
      <c r="B77" s="57" t="s">
        <v>123</v>
      </c>
      <c r="C77" s="56">
        <f t="array" ref="C77">INDEX(Totals!K:K,MATCH(B77,Totals!I:I,0))</f>
        <v>8</v>
      </c>
      <c r="D77" s="17" t="s">
        <v>135</v>
      </c>
      <c r="E77" s="17" t="s">
        <v>142</v>
      </c>
      <c r="F77" s="17">
        <v>3.0</v>
      </c>
      <c r="G77" s="17">
        <v>6.0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7" t="str">
        <f>VLOOKUP(B78,Totals!I:J,2,false)</f>
        <v>Imagine Pope Kiwis III</v>
      </c>
      <c r="B78" s="57" t="s">
        <v>110</v>
      </c>
      <c r="C78" s="56">
        <f t="array" ref="C78">INDEX(Totals!K:K,MATCH(B78,Totals!I:I,0))</f>
        <v>5</v>
      </c>
      <c r="D78" s="17" t="s">
        <v>135</v>
      </c>
      <c r="E78" s="60">
        <v>0.18333333333333332</v>
      </c>
      <c r="F78" s="17">
        <v>4.0</v>
      </c>
      <c r="G78" s="17">
        <v>4.0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7" t="str">
        <f>VLOOKUP(B79,Totals!I:J,2,false)</f>
        <v>Robert</v>
      </c>
      <c r="B79" s="55" t="s">
        <v>79</v>
      </c>
      <c r="C79" s="56">
        <f t="array" ref="C79">INDEX(Totals!K:K,MATCH(B79,Totals!I:I,0))</f>
        <v>8</v>
      </c>
      <c r="D79" s="17" t="s">
        <v>136</v>
      </c>
      <c r="E79" s="17" t="s">
        <v>143</v>
      </c>
      <c r="F79" s="17">
        <v>3.0</v>
      </c>
      <c r="G79" s="17">
        <v>6.0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7" t="str">
        <f>VLOOKUP(B80,Totals!I:J,2,false)</f>
        <v>Red Dead Cheetahs</v>
      </c>
      <c r="B80" s="57" t="s">
        <v>117</v>
      </c>
      <c r="C80" s="56">
        <f t="array" ref="C80">INDEX(Totals!K:K,MATCH(B80,Totals!I:I,0))</f>
        <v>6</v>
      </c>
      <c r="D80" s="17" t="s">
        <v>136</v>
      </c>
      <c r="E80" s="60">
        <v>0.17847222222222223</v>
      </c>
      <c r="F80" s="17"/>
      <c r="G80" s="1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7" t="str">
        <f>VLOOKUP(B81,Totals!I:J,2,false)</f>
        <v>Imagine Pope Kiwis III</v>
      </c>
      <c r="B81" s="55" t="s">
        <v>106</v>
      </c>
      <c r="C81" s="56">
        <f t="array" ref="C81">INDEX(Totals!K:K,MATCH(B81,Totals!I:I,0))</f>
        <v>7</v>
      </c>
      <c r="D81" s="17" t="s">
        <v>136</v>
      </c>
      <c r="E81" s="17" t="s">
        <v>144</v>
      </c>
      <c r="F81" s="29">
        <v>4.0</v>
      </c>
      <c r="G81" s="17">
        <v>4.0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7" t="str">
        <f>VLOOKUP(B82,Totals!I:J,2,false)</f>
        <v>Red Dead Cheetahs</v>
      </c>
      <c r="B82" s="55" t="s">
        <v>116</v>
      </c>
      <c r="C82" s="56">
        <f t="array" ref="C82">INDEX(Totals!K:K,MATCH(B82,Totals!I:I,0))</f>
        <v>7</v>
      </c>
      <c r="D82" s="17" t="s">
        <v>136</v>
      </c>
      <c r="E82" s="17" t="s">
        <v>145</v>
      </c>
      <c r="F82" s="17"/>
      <c r="G82" s="1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7" t="str">
        <f>VLOOKUP(B83,Totals!I:J,2,false)</f>
        <v>Robert</v>
      </c>
      <c r="B83" s="55" t="s">
        <v>8</v>
      </c>
      <c r="C83" s="56">
        <f t="array" ref="C83">INDEX(Totals!K:K,MATCH(B83,Totals!I:I,0))</f>
        <v>6</v>
      </c>
      <c r="D83" s="17" t="s">
        <v>135</v>
      </c>
      <c r="E83" s="60">
        <v>0.16597222222222222</v>
      </c>
      <c r="F83" s="17">
        <v>3.0</v>
      </c>
      <c r="G83" s="17">
        <v>6.0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7" t="str">
        <f>VLOOKUP(B84,Totals!I:J,2,false)</f>
        <v>Red Dead Cheetahs</v>
      </c>
      <c r="B84" s="57" t="s">
        <v>121</v>
      </c>
      <c r="C84" s="56">
        <f t="array" ref="C84">INDEX(Totals!K:K,MATCH(B84,Totals!I:I,0))</f>
        <v>5</v>
      </c>
      <c r="D84" s="17" t="s">
        <v>136</v>
      </c>
      <c r="E84" s="17" t="s">
        <v>146</v>
      </c>
      <c r="F84" s="17"/>
      <c r="G84" s="1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7"/>
      <c r="B85" s="57"/>
      <c r="C85" s="56"/>
      <c r="D85" s="17"/>
      <c r="E85" s="60"/>
      <c r="F85" s="1"/>
      <c r="G85" s="1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7.25" customHeight="1">
      <c r="A86" s="52" t="s">
        <v>64</v>
      </c>
      <c r="B86" s="52" t="s">
        <v>83</v>
      </c>
      <c r="C86" s="53" t="s">
        <v>65</v>
      </c>
      <c r="D86" s="52" t="s">
        <v>132</v>
      </c>
      <c r="E86" s="52" t="s">
        <v>133</v>
      </c>
      <c r="F86" s="52" t="s">
        <v>88</v>
      </c>
      <c r="G86" s="52" t="s">
        <v>134</v>
      </c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</row>
    <row r="87">
      <c r="A87" s="17" t="str">
        <f>VLOOKUP(B87,Totals!I:J,2,false)</f>
        <v>Jurassic Chickens</v>
      </c>
      <c r="B87" s="57" t="s">
        <v>52</v>
      </c>
      <c r="C87" s="56">
        <f t="array" ref="C87">INDEX(Totals!K:K,MATCH(B87,Totals!I:I,0))</f>
        <v>8</v>
      </c>
      <c r="D87" s="17" t="s">
        <v>136</v>
      </c>
      <c r="E87" s="17" t="s">
        <v>147</v>
      </c>
      <c r="F87" s="17">
        <v>1.0</v>
      </c>
      <c r="G87" s="17">
        <v>10.0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7" t="str">
        <f>VLOOKUP(B88,Totals!I:J,2,false)</f>
        <v>Jurassic Chickens</v>
      </c>
      <c r="B88" s="57" t="s">
        <v>123</v>
      </c>
      <c r="C88" s="56">
        <f t="array" ref="C88">INDEX(Totals!K:K,MATCH(B88,Totals!I:I,0))</f>
        <v>8</v>
      </c>
      <c r="D88" s="17" t="s">
        <v>135</v>
      </c>
      <c r="E88" s="17" t="s">
        <v>148</v>
      </c>
      <c r="F88" s="17">
        <v>3.0</v>
      </c>
      <c r="G88" s="17">
        <v>6.0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7" t="str">
        <f>VLOOKUP(B89,Totals!I:J,2,false)</f>
        <v>Jurassic Chickens</v>
      </c>
      <c r="B89" s="57" t="s">
        <v>126</v>
      </c>
      <c r="C89" s="56">
        <f t="array" ref="C89">INDEX(Totals!K:K,MATCH(B89,Totals!I:I,0))</f>
        <v>6</v>
      </c>
      <c r="D89" s="17" t="s">
        <v>135</v>
      </c>
      <c r="E89" s="17" t="s">
        <v>149</v>
      </c>
      <c r="F89" s="17">
        <v>1.0</v>
      </c>
      <c r="G89" s="17">
        <v>10.0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7" t="str">
        <f>VLOOKUP(B90,Totals!I:J,2,false)</f>
        <v>Robert</v>
      </c>
      <c r="B90" s="61" t="s">
        <v>99</v>
      </c>
      <c r="C90" s="56">
        <f t="array" ref="C90">INDEX(Totals!K:K,MATCH(B90,Totals!I:I,0))</f>
        <v>5</v>
      </c>
      <c r="D90" s="17" t="s">
        <v>136</v>
      </c>
      <c r="E90" s="61" t="s">
        <v>150</v>
      </c>
      <c r="F90" s="62">
        <v>5.0</v>
      </c>
      <c r="G90" s="62">
        <v>2.0</v>
      </c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</row>
    <row r="91">
      <c r="A91" s="17" t="str">
        <f>VLOOKUP(B91,Totals!I:J,2,false)</f>
        <v>Red Dead Cheetahs</v>
      </c>
      <c r="B91" s="55" t="s">
        <v>120</v>
      </c>
      <c r="C91" s="56">
        <f t="array" ref="C91">INDEX(Totals!K:K,MATCH(B91,Totals!I:I,0))</f>
        <v>5</v>
      </c>
      <c r="D91" s="17" t="s">
        <v>135</v>
      </c>
      <c r="E91" s="17"/>
      <c r="F91" s="17"/>
      <c r="G91" s="1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7" t="str">
        <f>VLOOKUP(B92,Totals!I:J,2,false)</f>
        <v>Imagine Pope Kiwis III</v>
      </c>
      <c r="B92" s="55" t="s">
        <v>105</v>
      </c>
      <c r="C92" s="56">
        <f t="array" ref="C92">INDEX(Totals!K:K,MATCH(B92,Totals!I:I,0))</f>
        <v>7</v>
      </c>
      <c r="D92" s="17" t="s">
        <v>136</v>
      </c>
      <c r="E92" s="17" t="s">
        <v>151</v>
      </c>
      <c r="F92" s="17">
        <v>2.0</v>
      </c>
      <c r="G92" s="17">
        <v>8.0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7" t="str">
        <f>VLOOKUP(B93,Totals!I:J,2,false)</f>
        <v>Robert</v>
      </c>
      <c r="B93" s="57" t="s">
        <v>76</v>
      </c>
      <c r="C93" s="56">
        <f t="array" ref="C93">INDEX(Totals!K:K,MATCH(B93,Totals!I:I,0))</f>
        <v>8</v>
      </c>
      <c r="D93" s="17" t="s">
        <v>136</v>
      </c>
      <c r="E93" s="17" t="s">
        <v>152</v>
      </c>
      <c r="F93" s="17">
        <v>3.0</v>
      </c>
      <c r="G93" s="17">
        <v>6.0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7" t="str">
        <f>VLOOKUP(B94,Totals!I:J,2,false)</f>
        <v>Imagine Pope Kiwis III</v>
      </c>
      <c r="B94" s="55" t="s">
        <v>110</v>
      </c>
      <c r="C94" s="56">
        <f t="array" ref="C94">INDEX(Totals!K:K,MATCH(B94,Totals!I:I,0))</f>
        <v>5</v>
      </c>
      <c r="D94" s="17" t="s">
        <v>135</v>
      </c>
      <c r="E94" s="17"/>
      <c r="F94" s="17"/>
      <c r="G94" s="1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7" t="str">
        <f>VLOOKUP(B95,Totals!I:J,2,false)</f>
        <v>Jurassic Chickens</v>
      </c>
      <c r="B95" s="61" t="s">
        <v>128</v>
      </c>
      <c r="C95" s="56">
        <f t="array" ref="C95">INDEX(Totals!K:K,MATCH(B95,Totals!I:I,0))</f>
        <v>5</v>
      </c>
      <c r="D95" s="17" t="s">
        <v>136</v>
      </c>
      <c r="E95" s="61" t="s">
        <v>153</v>
      </c>
      <c r="F95" s="62">
        <v>4.0</v>
      </c>
      <c r="G95" s="62">
        <v>4.0</v>
      </c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</row>
    <row r="96">
      <c r="A96" s="17" t="str">
        <f>VLOOKUP(B96,Totals!I:J,2,false)</f>
        <v>Robert</v>
      </c>
      <c r="B96" s="55" t="s">
        <v>73</v>
      </c>
      <c r="C96" s="56">
        <f t="array" ref="C96">INDEX(Totals!K:K,MATCH(B96,Totals!I:I,0))</f>
        <v>8</v>
      </c>
      <c r="D96" s="17" t="s">
        <v>135</v>
      </c>
      <c r="E96" s="17" t="s">
        <v>154</v>
      </c>
      <c r="F96" s="17">
        <v>2.0</v>
      </c>
      <c r="G96" s="17">
        <v>8.0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7" t="str">
        <f>VLOOKUP(B97,Totals!I:J,2,false)</f>
        <v>Robert</v>
      </c>
      <c r="B97" s="57" t="s">
        <v>79</v>
      </c>
      <c r="C97" s="56">
        <f t="array" ref="C97">INDEX(Totals!K:K,MATCH(B97,Totals!I:I,0))</f>
        <v>8</v>
      </c>
      <c r="D97" s="17" t="s">
        <v>136</v>
      </c>
      <c r="E97" s="17" t="s">
        <v>155</v>
      </c>
      <c r="F97" s="17">
        <v>4.0</v>
      </c>
      <c r="G97" s="17">
        <v>4.0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7" t="str">
        <f>VLOOKUP(B98,Totals!I:J,2,false)</f>
        <v>Red Dead Cheetahs</v>
      </c>
      <c r="B98" s="55" t="s">
        <v>116</v>
      </c>
      <c r="C98" s="56">
        <f t="array" ref="C98">INDEX(Totals!K:K,MATCH(B98,Totals!I:I,0))</f>
        <v>7</v>
      </c>
      <c r="D98" s="17" t="s">
        <v>136</v>
      </c>
      <c r="E98" s="17" t="s">
        <v>156</v>
      </c>
      <c r="F98" s="17">
        <v>5.0</v>
      </c>
      <c r="G98" s="17">
        <v>2.0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7" t="str">
        <f>VLOOKUP(B99,Totals!I:J,2,false)</f>
        <v>Imagine Pope Kiwis III</v>
      </c>
      <c r="B99" s="17" t="s">
        <v>101</v>
      </c>
      <c r="C99" s="56">
        <f t="array" ref="C99">INDEX(Totals!K:K,MATCH(B99,Totals!I:I,0))</f>
        <v>8</v>
      </c>
      <c r="D99" s="17" t="s">
        <v>135</v>
      </c>
      <c r="E99" s="17" t="s">
        <v>157</v>
      </c>
      <c r="F99" s="17">
        <v>4.0</v>
      </c>
      <c r="G99" s="17">
        <v>4.0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7" t="str">
        <f>VLOOKUP(B100,Totals!I:J,2,false)</f>
        <v>Imagine Pope Kiwis III</v>
      </c>
      <c r="B100" s="61" t="s">
        <v>14</v>
      </c>
      <c r="C100" s="56">
        <f t="array" ref="C100">INDEX(Totals!K:K,MATCH(B100,Totals!I:I,0))</f>
        <v>8</v>
      </c>
      <c r="D100" s="17" t="s">
        <v>135</v>
      </c>
      <c r="E100" s="61" t="s">
        <v>158</v>
      </c>
      <c r="F100" s="62">
        <v>1.0</v>
      </c>
      <c r="G100" s="62">
        <v>10.0</v>
      </c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</row>
    <row r="101">
      <c r="A101" s="17" t="str">
        <f>VLOOKUP(B101,Totals!I:J,2,false)</f>
        <v>Robert</v>
      </c>
      <c r="B101" s="62" t="s">
        <v>11</v>
      </c>
      <c r="C101" s="56">
        <f t="array" ref="C101">INDEX(Totals!K:K,MATCH(B101,Totals!I:I,0))</f>
        <v>6</v>
      </c>
      <c r="D101" s="17" t="s">
        <v>136</v>
      </c>
      <c r="E101" s="62" t="s">
        <v>159</v>
      </c>
      <c r="F101" s="62">
        <v>1.0</v>
      </c>
      <c r="G101" s="62">
        <v>10.0</v>
      </c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</row>
    <row r="102">
      <c r="A102" s="17" t="str">
        <f>VLOOKUP(B102,Totals!I:J,2,false)</f>
        <v>Robert</v>
      </c>
      <c r="B102" s="61" t="s">
        <v>91</v>
      </c>
      <c r="C102" s="56">
        <f t="array" ref="C102">INDEX(Totals!K:K,MATCH(B102,Totals!I:I,0))</f>
        <v>5</v>
      </c>
      <c r="D102" s="17" t="s">
        <v>136</v>
      </c>
      <c r="E102" s="63">
        <v>0.06736111111111111</v>
      </c>
      <c r="F102" s="62"/>
      <c r="G102" s="62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</row>
    <row r="103">
      <c r="A103" s="17" t="str">
        <f>VLOOKUP(B103,Totals!I:J,2,false)</f>
        <v>Imagine Pope Kiwis III</v>
      </c>
      <c r="B103" s="55" t="s">
        <v>107</v>
      </c>
      <c r="C103" s="56">
        <f t="array" ref="C103">INDEX(Totals!K:K,MATCH(B103,Totals!I:I,0))</f>
        <v>6</v>
      </c>
      <c r="D103" s="17" t="s">
        <v>136</v>
      </c>
      <c r="E103" s="60">
        <v>0.06319444444444444</v>
      </c>
      <c r="F103" s="17">
        <v>3.0</v>
      </c>
      <c r="G103" s="17">
        <v>6.0</v>
      </c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</row>
    <row r="104">
      <c r="A104" s="17" t="str">
        <f>VLOOKUP(B104,Totals!I:J,2,false)</f>
        <v>Red Dead Cheetahs</v>
      </c>
      <c r="B104" s="57" t="s">
        <v>121</v>
      </c>
      <c r="C104" s="56">
        <f t="array" ref="C104">INDEX(Totals!K:K,MATCH(B104,Totals!I:I,0))</f>
        <v>5</v>
      </c>
      <c r="D104" s="17" t="s">
        <v>136</v>
      </c>
      <c r="E104" s="60">
        <v>0.058333333333333334</v>
      </c>
      <c r="F104" s="17">
        <v>2.0</v>
      </c>
      <c r="G104" s="17">
        <v>8.0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7"/>
      <c r="B105" s="62"/>
      <c r="C105" s="56"/>
      <c r="D105" s="17"/>
      <c r="E105" s="62"/>
      <c r="F105" s="62"/>
      <c r="G105" s="62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>
      <c r="A106" s="52" t="s">
        <v>64</v>
      </c>
      <c r="B106" s="52" t="s">
        <v>87</v>
      </c>
      <c r="C106" s="53" t="s">
        <v>65</v>
      </c>
      <c r="D106" s="52" t="s">
        <v>132</v>
      </c>
      <c r="E106" s="52" t="s">
        <v>133</v>
      </c>
      <c r="F106" s="52" t="s">
        <v>88</v>
      </c>
      <c r="G106" s="52" t="s">
        <v>134</v>
      </c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</row>
    <row r="107">
      <c r="A107" s="17" t="str">
        <f>VLOOKUP(B107,Totals!I:J,2,false)</f>
        <v>Imagine Pope Kiwis III</v>
      </c>
      <c r="B107" s="55" t="s">
        <v>20</v>
      </c>
      <c r="C107" s="56">
        <f t="array" ref="C107">INDEX(Totals!K:K,MATCH(B107,Totals!I:I,0))</f>
        <v>6</v>
      </c>
      <c r="D107" s="17" t="s">
        <v>135</v>
      </c>
      <c r="E107" s="17">
        <v>16.0</v>
      </c>
      <c r="F107" s="17">
        <v>1.0</v>
      </c>
      <c r="G107" s="17">
        <v>10.0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7" t="str">
        <f>VLOOKUP(B108,Totals!I:J,2,false)</f>
        <v>Jurassic Chickens</v>
      </c>
      <c r="B108" s="57" t="s">
        <v>125</v>
      </c>
      <c r="C108" s="56">
        <f t="array" ref="C108">INDEX(Totals!K:K,MATCH(B108,Totals!I:I,0))</f>
        <v>6</v>
      </c>
      <c r="D108" s="17" t="s">
        <v>136</v>
      </c>
      <c r="E108" s="17">
        <v>14.48</v>
      </c>
      <c r="F108" s="17">
        <v>1.0</v>
      </c>
      <c r="G108" s="17">
        <v>10.0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7" t="str">
        <f>VLOOKUP(B109,Totals!I:J,2,false)</f>
        <v>Imagine Pope Kiwis III</v>
      </c>
      <c r="B109" s="17" t="s">
        <v>103</v>
      </c>
      <c r="C109" s="56">
        <f t="array" ref="C109">INDEX(Totals!K:K,MATCH(B109,Totals!I:I,0))</f>
        <v>8</v>
      </c>
      <c r="D109" s="17" t="s">
        <v>136</v>
      </c>
      <c r="E109" s="17">
        <v>13.41</v>
      </c>
      <c r="F109" s="17">
        <v>1.0</v>
      </c>
      <c r="G109" s="17">
        <v>10.0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7" t="str">
        <f>VLOOKUP(B110,Totals!I:J,2,false)</f>
        <v>Imagine Pope Kiwis III</v>
      </c>
      <c r="B110" s="55" t="s">
        <v>50</v>
      </c>
      <c r="C110" s="56">
        <f t="array" ref="C110">INDEX(Totals!K:K,MATCH(B110,Totals!I:I,0))</f>
        <v>8</v>
      </c>
      <c r="D110" s="17" t="s">
        <v>135</v>
      </c>
      <c r="E110" s="17">
        <v>14.97</v>
      </c>
      <c r="F110" s="17">
        <v>1.0</v>
      </c>
      <c r="G110" s="17">
        <v>10.0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7" t="str">
        <f>VLOOKUP(B111,Totals!I:J,2,false)</f>
        <v>Imagine Pope Kiwis III</v>
      </c>
      <c r="B111" s="55" t="s">
        <v>34</v>
      </c>
      <c r="C111" s="56">
        <f t="array" ref="C111">INDEX(Totals!K:K,MATCH(B111,Totals!I:I,0))</f>
        <v>6</v>
      </c>
      <c r="D111" s="17" t="s">
        <v>136</v>
      </c>
      <c r="E111" s="17">
        <v>15.18</v>
      </c>
      <c r="F111" s="17">
        <v>2.0</v>
      </c>
      <c r="G111" s="17">
        <v>8.0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7" t="str">
        <f>VLOOKUP(B112,Totals!I:J,2,false)</f>
        <v>Imagine Pope Kiwis III</v>
      </c>
      <c r="B112" s="55" t="s">
        <v>106</v>
      </c>
      <c r="C112" s="56">
        <f t="array" ref="C112">INDEX(Totals!K:K,MATCH(B112,Totals!I:I,0))</f>
        <v>7</v>
      </c>
      <c r="D112" s="17" t="s">
        <v>136</v>
      </c>
      <c r="E112" s="17">
        <v>13.56</v>
      </c>
      <c r="F112" s="17">
        <v>2.0</v>
      </c>
      <c r="G112" s="17">
        <v>8.0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7" t="str">
        <f>VLOOKUP(B113,Totals!I:J,2,false)</f>
        <v>Robert</v>
      </c>
      <c r="B113" s="55" t="s">
        <v>7</v>
      </c>
      <c r="C113" s="56">
        <f t="array" ref="C113">INDEX(Totals!K:K,MATCH(B113,Totals!I:I,0))</f>
        <v>6</v>
      </c>
      <c r="D113" s="17" t="s">
        <v>135</v>
      </c>
      <c r="E113" s="17">
        <v>16.59</v>
      </c>
      <c r="F113" s="17">
        <v>2.0</v>
      </c>
      <c r="G113" s="17">
        <v>8.0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7" t="str">
        <f>VLOOKUP(B114,Totals!I:J,2,false)</f>
        <v>Red Dead Cheetahs</v>
      </c>
      <c r="B114" s="57" t="s">
        <v>119</v>
      </c>
      <c r="C114" s="56">
        <f t="array" ref="C114">INDEX(Totals!K:K,MATCH(B114,Totals!I:I,0))</f>
        <v>5</v>
      </c>
      <c r="D114" s="17" t="s">
        <v>135</v>
      </c>
      <c r="E114" s="17">
        <v>16.73</v>
      </c>
      <c r="F114" s="17">
        <v>3.0</v>
      </c>
      <c r="G114" s="17">
        <v>6.0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7" t="str">
        <f>VLOOKUP(B115,Totals!I:J,2,false)</f>
        <v>Red Dead Cheetahs</v>
      </c>
      <c r="B115" s="55" t="s">
        <v>114</v>
      </c>
      <c r="C115" s="56">
        <f t="array" ref="C115">INDEX(Totals!K:K,MATCH(B115,Totals!I:I,0))</f>
        <v>8</v>
      </c>
      <c r="D115" s="17" t="s">
        <v>136</v>
      </c>
      <c r="E115" s="17">
        <v>13.61</v>
      </c>
      <c r="F115" s="17">
        <v>3.0</v>
      </c>
      <c r="G115" s="17">
        <v>6.0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7" t="str">
        <f>VLOOKUP(B116,Totals!I:J,2,false)</f>
        <v>Robert</v>
      </c>
      <c r="B116" s="55" t="s">
        <v>82</v>
      </c>
      <c r="C116" s="56">
        <f t="array" ref="C116">INDEX(Totals!K:K,MATCH(B116,Totals!I:I,0))</f>
        <v>7</v>
      </c>
      <c r="D116" s="17" t="s">
        <v>136</v>
      </c>
      <c r="E116" s="17">
        <v>13.96</v>
      </c>
      <c r="F116" s="17">
        <v>4.0</v>
      </c>
      <c r="G116" s="17">
        <v>4.0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7" t="str">
        <f>VLOOKUP(B117,Totals!I:J,2,false)</f>
        <v>Jurassic Chickens</v>
      </c>
      <c r="B117" s="57" t="s">
        <v>126</v>
      </c>
      <c r="C117" s="56">
        <f t="array" ref="C117">INDEX(Totals!K:K,MATCH(B117,Totals!I:I,0))</f>
        <v>6</v>
      </c>
      <c r="D117" s="17" t="s">
        <v>135</v>
      </c>
      <c r="E117" s="17">
        <v>17.69</v>
      </c>
      <c r="F117" s="17">
        <v>4.0</v>
      </c>
      <c r="G117" s="17">
        <v>4.0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7" t="str">
        <f>VLOOKUP(B118,Totals!I:J,2,false)</f>
        <v>Red Dead Cheetahs</v>
      </c>
      <c r="B118" s="57" t="s">
        <v>118</v>
      </c>
      <c r="C118" s="56">
        <f t="array" ref="C118">INDEX(Totals!K:K,MATCH(B118,Totals!I:I,0))</f>
        <v>6</v>
      </c>
      <c r="D118" s="17" t="s">
        <v>136</v>
      </c>
      <c r="E118" s="17">
        <v>15.22</v>
      </c>
      <c r="F118" s="17">
        <v>3.0</v>
      </c>
      <c r="G118" s="17">
        <v>6.0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7" t="str">
        <f>VLOOKUP(B119,Totals!I:J,2,false)</f>
        <v>Red Dead Cheetahs</v>
      </c>
      <c r="B119" s="55" t="s">
        <v>120</v>
      </c>
      <c r="C119" s="56">
        <f t="array" ref="C119">INDEX(Totals!K:K,MATCH(B119,Totals!I:I,0))</f>
        <v>5</v>
      </c>
      <c r="D119" s="17" t="s">
        <v>135</v>
      </c>
      <c r="E119" s="17">
        <v>17.87</v>
      </c>
      <c r="F119" s="17">
        <v>5.0</v>
      </c>
      <c r="G119" s="17">
        <v>2.0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7" t="str">
        <f>VLOOKUP(B120,Totals!I:J,2,false)</f>
        <v>Imagine Pope Kiwis III</v>
      </c>
      <c r="B120" s="55" t="s">
        <v>105</v>
      </c>
      <c r="C120" s="56">
        <f t="array" ref="C120">INDEX(Totals!K:K,MATCH(B120,Totals!I:I,0))</f>
        <v>7</v>
      </c>
      <c r="D120" s="17" t="s">
        <v>136</v>
      </c>
      <c r="E120" s="17">
        <v>13.96</v>
      </c>
      <c r="F120" s="17">
        <v>5.0</v>
      </c>
      <c r="G120" s="17">
        <v>2.0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7" t="str">
        <f>VLOOKUP(B121,Totals!I:J,2,false)</f>
        <v>Imagine Pope Kiwis III</v>
      </c>
      <c r="B121" s="55" t="s">
        <v>110</v>
      </c>
      <c r="C121" s="56">
        <f t="array" ref="C121">INDEX(Totals!K:K,MATCH(B121,Totals!I:I,0))</f>
        <v>5</v>
      </c>
      <c r="D121" s="17" t="s">
        <v>135</v>
      </c>
      <c r="E121" s="17"/>
      <c r="F121" s="17"/>
      <c r="G121" s="1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7" t="str">
        <f>VLOOKUP(B122,Totals!I:J,2,false)</f>
        <v>Jurassic Chickens</v>
      </c>
      <c r="B122" s="57" t="s">
        <v>130</v>
      </c>
      <c r="C122" s="56">
        <f t="array" ref="C122">INDEX(Totals!K:K,MATCH(B122,Totals!I:I,0))</f>
        <v>5</v>
      </c>
      <c r="D122" s="17" t="s">
        <v>136</v>
      </c>
      <c r="E122" s="17">
        <v>15.71</v>
      </c>
      <c r="F122" s="17">
        <v>4.0</v>
      </c>
      <c r="G122" s="17">
        <v>4.0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7" t="str">
        <f>VLOOKUP(B123,Totals!I:J,2,false)</f>
        <v>Jurassic Chickens</v>
      </c>
      <c r="B123" s="17" t="s">
        <v>53</v>
      </c>
      <c r="C123" s="56">
        <f t="array" ref="C123">INDEX(Totals!K:K,MATCH(B123,Totals!I:I,0))</f>
        <v>8</v>
      </c>
      <c r="D123" s="17" t="s">
        <v>136</v>
      </c>
      <c r="E123" s="17">
        <v>14.4</v>
      </c>
      <c r="F123" s="17">
        <v>6.0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7" t="str">
        <f>VLOOKUP(B124,Totals!I:J,2,false)</f>
        <v>Red Dead Cheetahs</v>
      </c>
      <c r="B124" s="55" t="s">
        <v>49</v>
      </c>
      <c r="C124" s="56">
        <f t="array" ref="C124">INDEX(Totals!K:K,MATCH(B124,Totals!I:I,0))</f>
        <v>7</v>
      </c>
      <c r="D124" s="17" t="s">
        <v>135</v>
      </c>
      <c r="E124" s="17">
        <v>15.37</v>
      </c>
      <c r="F124" s="17">
        <v>2.0</v>
      </c>
      <c r="G124" s="17">
        <v>8.0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7" t="str">
        <f>VLOOKUP(B125,Totals!I:J,2,false)</f>
        <v>Jurassic Chickens</v>
      </c>
      <c r="B125" s="57" t="s">
        <v>10</v>
      </c>
      <c r="C125" s="56">
        <f t="array" ref="C125">INDEX(Totals!K:K,MATCH(B125,Totals!I:I,0))</f>
        <v>7</v>
      </c>
      <c r="D125" s="17" t="s">
        <v>136</v>
      </c>
      <c r="E125" s="17">
        <v>15.68</v>
      </c>
      <c r="F125" s="17">
        <v>7.0</v>
      </c>
      <c r="G125" s="1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7" t="str">
        <f>VLOOKUP(B126,Totals!I:J,2,false)</f>
        <v>Jurassic Chickens</v>
      </c>
      <c r="B126" s="57" t="s">
        <v>36</v>
      </c>
      <c r="C126" s="56">
        <f t="array" ref="C126">INDEX(Totals!K:K,MATCH(B126,Totals!I:I,0))</f>
        <v>7</v>
      </c>
      <c r="D126" s="17" t="s">
        <v>135</v>
      </c>
      <c r="E126" s="17">
        <v>15.37</v>
      </c>
      <c r="F126" s="17">
        <v>3.0</v>
      </c>
      <c r="G126" s="17">
        <v>6.0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7" t="str">
        <f>VLOOKUP(B127,Totals!I:J,2,false)</f>
        <v>Red Dead Cheetahs</v>
      </c>
      <c r="B127" s="55" t="s">
        <v>40</v>
      </c>
      <c r="C127" s="56">
        <f t="array" ref="C127">INDEX(Totals!K:K,MATCH(B127,Totals!I:I,0))</f>
        <v>8</v>
      </c>
      <c r="D127" s="17" t="s">
        <v>135</v>
      </c>
      <c r="E127" s="17">
        <v>15.55</v>
      </c>
      <c r="F127" s="17">
        <v>4.0</v>
      </c>
      <c r="G127" s="17">
        <v>4.0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7" t="str">
        <f>VLOOKUP(B128,Totals!I:J,2,false)</f>
        <v>Imagine Pope Kiwis III</v>
      </c>
      <c r="B128" s="57" t="s">
        <v>104</v>
      </c>
      <c r="C128" s="56">
        <f t="array" ref="C128">INDEX(Totals!K:K,MATCH(B128,Totals!I:I,0))</f>
        <v>8</v>
      </c>
      <c r="D128" s="17" t="s">
        <v>136</v>
      </c>
      <c r="E128" s="17">
        <v>15.97</v>
      </c>
      <c r="F128" s="17">
        <v>8.0</v>
      </c>
      <c r="G128" s="1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7" t="str">
        <f>VLOOKUP(B129,Totals!I:J,2,false)</f>
        <v>Imagine Pope Kiwis III</v>
      </c>
      <c r="B129" s="57" t="s">
        <v>108</v>
      </c>
      <c r="C129" s="56">
        <f t="array" ref="C129">INDEX(Totals!K:K,MATCH(B129,Totals!I:I,0))</f>
        <v>5</v>
      </c>
      <c r="D129" s="17" t="s">
        <v>135</v>
      </c>
      <c r="E129" s="17"/>
      <c r="F129" s="17"/>
      <c r="G129" s="1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7" t="str">
        <f>VLOOKUP(B130,Totals!I:J,2,false)</f>
        <v>Robert</v>
      </c>
      <c r="B130" s="55" t="s">
        <v>11</v>
      </c>
      <c r="C130" s="56">
        <f t="array" ref="C130">INDEX(Totals!K:K,MATCH(B130,Totals!I:I,0))</f>
        <v>6</v>
      </c>
      <c r="D130" s="17" t="s">
        <v>136</v>
      </c>
      <c r="E130" s="17">
        <v>16.98</v>
      </c>
      <c r="F130" s="17">
        <v>5.0</v>
      </c>
      <c r="G130" s="17">
        <v>2.0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7" t="str">
        <f>VLOOKUP(B131,Totals!I:J,2,false)</f>
        <v>Imagine Pope Kiwis III</v>
      </c>
      <c r="B131" s="17" t="s">
        <v>107</v>
      </c>
      <c r="C131" s="56">
        <f t="array" ref="C131">INDEX(Totals!K:K,MATCH(B131,Totals!I:I,0))</f>
        <v>6</v>
      </c>
      <c r="D131" s="17" t="s">
        <v>136</v>
      </c>
      <c r="E131" s="17">
        <v>17.64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7" t="str">
        <f>VLOOKUP(B132,Totals!I:J,2,false)</f>
        <v>Red Dead Cheetahs</v>
      </c>
      <c r="B132" s="57" t="s">
        <v>121</v>
      </c>
      <c r="C132" s="56">
        <f t="array" ref="C132">INDEX(Totals!K:K,MATCH(B132,Totals!I:I,0))</f>
        <v>5</v>
      </c>
      <c r="D132" s="17" t="s">
        <v>136</v>
      </c>
      <c r="E132" s="17">
        <v>17.75</v>
      </c>
      <c r="F132" s="1"/>
      <c r="G132" s="1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7" t="str">
        <f>VLOOKUP(B133,Totals!I:J,2,false)</f>
        <v>Jurassic Chickens</v>
      </c>
      <c r="B133" s="57" t="s">
        <v>123</v>
      </c>
      <c r="C133" s="56">
        <f t="array" ref="C133">INDEX(Totals!K:K,MATCH(B133,Totals!I:I,0))</f>
        <v>8</v>
      </c>
      <c r="D133" s="17" t="s">
        <v>135</v>
      </c>
      <c r="E133" s="17">
        <v>15.81</v>
      </c>
      <c r="F133" s="17">
        <v>5.0</v>
      </c>
      <c r="G133" s="17">
        <v>2.0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7" t="str">
        <f>VLOOKUP(B134,Totals!I:J,2,false)</f>
        <v>Red Dead Cheetahs</v>
      </c>
      <c r="B134" s="55" t="s">
        <v>112</v>
      </c>
      <c r="C134" s="56">
        <f t="array" ref="C134">INDEX(Totals!K:K,MATCH(B134,Totals!I:I,0))</f>
        <v>8</v>
      </c>
      <c r="D134" s="17" t="s">
        <v>136</v>
      </c>
      <c r="E134" s="17"/>
      <c r="F134" s="17"/>
      <c r="G134" s="1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7" t="str">
        <f>VLOOKUP(B135,Totals!I:J,2,false)</f>
        <v>Robert</v>
      </c>
      <c r="B135" s="17" t="s">
        <v>73</v>
      </c>
      <c r="C135" s="56">
        <f t="array" ref="C135">INDEX(Totals!K:K,MATCH(B135,Totals!I:I,0))</f>
        <v>8</v>
      </c>
      <c r="D135" s="17" t="s">
        <v>135</v>
      </c>
      <c r="E135" s="17">
        <v>15.98</v>
      </c>
      <c r="F135" s="17">
        <v>6.0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7" t="str">
        <f>VLOOKUP(B136,Totals!I:J,2,false)</f>
        <v>Red Dead Cheetahs</v>
      </c>
      <c r="B136" s="55" t="s">
        <v>116</v>
      </c>
      <c r="C136" s="56">
        <f t="array" ref="C136">INDEX(Totals!K:K,MATCH(B136,Totals!I:I,0))</f>
        <v>7</v>
      </c>
      <c r="D136" s="17" t="s">
        <v>136</v>
      </c>
      <c r="E136" s="17"/>
      <c r="F136" s="2"/>
      <c r="G136" s="1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7" t="str">
        <f>VLOOKUP(B137,Totals!I:J,2,false)</f>
        <v>Robert</v>
      </c>
      <c r="B137" s="17" t="s">
        <v>12</v>
      </c>
      <c r="C137" s="56">
        <f t="array" ref="C137">INDEX(Totals!K:K,MATCH(B137,Totals!I:I,0))</f>
        <v>8</v>
      </c>
      <c r="D137" s="17" t="s">
        <v>135</v>
      </c>
      <c r="E137" s="17">
        <v>16.59</v>
      </c>
      <c r="F137" s="17">
        <v>7.0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7" t="str">
        <f>VLOOKUP(B138,Totals!I:J,2,false)</f>
        <v>Jurassic Chickens</v>
      </c>
      <c r="B138" s="57" t="s">
        <v>122</v>
      </c>
      <c r="C138" s="56">
        <f t="array" ref="C138">INDEX(Totals!K:K,MATCH(B138,Totals!I:I,0))</f>
        <v>8</v>
      </c>
      <c r="D138" s="17" t="s">
        <v>136</v>
      </c>
      <c r="E138" s="17"/>
      <c r="F138" s="1"/>
      <c r="G138" s="17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</row>
    <row r="139">
      <c r="A139" s="17" t="str">
        <f>VLOOKUP(B139,Totals!I:J,2,false)</f>
        <v>Imagine Pope Kiwis III</v>
      </c>
      <c r="B139" s="17" t="s">
        <v>109</v>
      </c>
      <c r="C139" s="56">
        <f t="array" ref="C139">INDEX(Totals!K:K,MATCH(B139,Totals!I:I,0))</f>
        <v>5</v>
      </c>
      <c r="D139" s="17" t="s">
        <v>136</v>
      </c>
      <c r="E139" s="17">
        <v>18.14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7" t="str">
        <f>VLOOKUP(B140,Totals!I:J,2,false)</f>
        <v>Robert</v>
      </c>
      <c r="B140" s="17" t="s">
        <v>99</v>
      </c>
      <c r="C140" s="56">
        <f t="array" ref="C140">INDEX(Totals!K:K,MATCH(B140,Totals!I:I,0))</f>
        <v>5</v>
      </c>
      <c r="D140" s="17" t="s">
        <v>136</v>
      </c>
      <c r="E140" s="17">
        <v>19.25</v>
      </c>
      <c r="F140" s="17"/>
      <c r="G140" s="1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7" t="str">
        <f>VLOOKUP(B141,Totals!I:J,2,false)</f>
        <v>Imagine Pope Kiwis III</v>
      </c>
      <c r="B141" s="17" t="s">
        <v>101</v>
      </c>
      <c r="C141" s="56">
        <f t="array" ref="C141">INDEX(Totals!K:K,MATCH(B141,Totals!I:I,0))</f>
        <v>8</v>
      </c>
      <c r="D141" s="17" t="s">
        <v>135</v>
      </c>
      <c r="E141" s="17">
        <v>16.68</v>
      </c>
      <c r="F141" s="17">
        <v>8.0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7" t="str">
        <f>VLOOKUP(B142,Totals!I:J,2,false)</f>
        <v>Robert</v>
      </c>
      <c r="B142" s="17" t="s">
        <v>84</v>
      </c>
      <c r="C142" s="56">
        <f t="array" ref="C142">INDEX(Totals!K:K,MATCH(B142,Totals!I:I,0))</f>
        <v>7</v>
      </c>
      <c r="D142" s="17" t="s">
        <v>135</v>
      </c>
      <c r="E142" s="17">
        <v>16.9</v>
      </c>
      <c r="F142" s="17">
        <v>9.0</v>
      </c>
      <c r="G142" s="1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7" t="str">
        <f>VLOOKUP(B143,Totals!I:J,2,false)</f>
        <v>Jurassic Chickens</v>
      </c>
      <c r="B143" s="57" t="s">
        <v>27</v>
      </c>
      <c r="C143" s="56">
        <f t="array" ref="C143">INDEX(Totals!K:K,MATCH(B143,Totals!I:I,0))</f>
        <v>8</v>
      </c>
      <c r="D143" s="17" t="s">
        <v>135</v>
      </c>
      <c r="E143" s="17"/>
      <c r="F143" s="1"/>
      <c r="G143" s="1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7" t="str">
        <f>VLOOKUP(B144,Totals!I:J,2,false)</f>
        <v>Jurassic Chickens</v>
      </c>
      <c r="B144" s="57" t="s">
        <v>128</v>
      </c>
      <c r="C144" s="56">
        <f t="array" ref="C144">INDEX(Totals!K:K,MATCH(B144,Totals!I:I,0))</f>
        <v>5</v>
      </c>
      <c r="D144" s="17" t="s">
        <v>136</v>
      </c>
      <c r="E144" s="17">
        <v>19.54</v>
      </c>
      <c r="F144" s="17"/>
      <c r="G144" s="1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64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6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64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64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64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64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64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64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64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6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64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64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64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64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64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64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64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64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64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64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6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64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64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64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64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64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64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64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64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6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6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6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6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6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6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6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64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64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64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64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64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64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64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64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6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6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6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6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6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6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6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6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6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6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6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6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6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6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6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6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64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64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64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64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6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6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6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6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6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6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6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6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6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6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6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6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6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6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6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64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64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64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64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64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64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64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64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64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64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64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64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64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64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64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64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64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64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64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64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64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64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64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64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64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64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64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64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64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64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64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64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64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64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64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64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64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64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64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64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64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64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64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64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64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64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64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64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64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6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64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64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64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64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64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6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6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6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6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6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6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6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6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6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6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6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6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6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6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6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6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6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6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6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64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64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64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64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64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64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64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64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64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64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64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64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64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64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64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64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64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64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64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64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64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64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64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64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64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6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6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6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6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6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6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6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64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6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6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6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6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6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6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6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6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6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6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6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6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6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6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6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6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6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6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6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6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6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6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6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6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6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6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6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6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6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6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6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6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6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6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6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6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6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6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6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6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6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6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6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6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6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6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6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6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6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6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6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6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6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6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6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6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6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6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6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6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6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6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6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6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6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6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6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6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6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6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6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6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6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6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6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6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6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6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6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6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6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6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6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6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6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6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6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6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6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6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6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6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6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6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6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6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6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6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6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6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6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6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6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6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6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6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6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6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6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6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6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6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6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6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6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6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6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6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6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6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6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6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6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6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6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6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6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6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6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6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6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6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6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6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6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6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6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6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6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6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6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6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6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6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6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6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6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6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6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6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6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6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6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6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6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6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6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6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6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6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6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6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6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6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6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6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6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6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6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6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6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6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6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6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6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6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6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6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6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6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6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6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6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6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6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6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6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6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6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6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6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6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6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6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6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6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6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6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6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6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6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6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6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6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6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6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6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6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6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6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6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6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6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6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6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6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6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6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6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6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6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6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6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6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6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6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6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6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6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6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6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6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6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6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6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6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6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6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6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6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6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6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6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6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6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6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6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6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6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6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6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6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6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6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6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6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6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6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6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6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6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6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6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6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6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6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6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6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6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6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6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6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6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6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6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6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6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6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6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6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6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6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6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6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6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6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6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6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6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6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6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6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6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6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6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6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6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6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6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6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6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6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6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6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6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6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6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6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6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6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6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6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6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6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6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6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6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6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6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6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6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6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6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6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6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6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6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6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6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6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6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6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6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6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6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6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6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6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6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6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6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6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6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6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6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6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6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6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6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6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6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6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6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6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6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6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6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6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6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6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6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6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6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6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6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6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6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6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6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6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6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6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6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6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6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6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6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6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6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6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6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6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6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6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6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6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6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6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6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6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6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6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6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6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6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6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6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6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6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6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6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6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6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6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6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6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6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6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6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6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6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6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6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6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6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6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6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6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6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6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6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6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6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6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6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6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6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6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6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6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6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6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6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6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6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6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6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6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6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6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6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6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6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6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6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6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6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6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6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6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6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6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6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6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6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6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6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6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6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6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6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6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6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6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6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6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6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6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6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6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6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6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6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6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6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6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6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6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6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6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6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6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6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6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6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6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6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6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6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6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6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6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6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6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6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6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6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6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6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6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6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6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6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6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6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6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6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6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6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6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6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6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6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6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6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6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6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6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6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6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6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6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6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6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6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6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6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6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6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6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6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6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6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6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6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6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6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6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6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6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6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6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6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6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6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6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6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6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6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6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6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6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6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6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6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6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6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6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6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6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6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6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6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6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6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6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6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6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6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6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6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6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6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6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6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6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6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6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6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6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6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6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6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6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6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6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6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6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6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6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6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6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6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6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6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6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6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6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6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6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6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6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6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6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6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6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6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6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6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6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6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6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6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6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6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6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6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6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6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6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6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6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6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6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6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6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6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6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6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6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6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6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6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6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6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6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6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6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6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6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6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6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6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6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6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6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6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6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6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6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6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6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6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6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6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6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6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6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6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6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6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6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6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6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6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6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6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6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6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6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64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64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"/>
      <c r="C1003" s="64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B1004" s="1"/>
      <c r="C1004" s="64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>
      <c r="A1005" s="1"/>
      <c r="B1005" s="1"/>
      <c r="C1005" s="64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>
      <c r="A1006" s="1"/>
      <c r="B1006" s="1"/>
      <c r="C1006" s="64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>
      <c r="A1007" s="1"/>
      <c r="B1007" s="1"/>
      <c r="C1007" s="64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>
      <c r="A1008" s="1"/>
      <c r="B1008" s="1"/>
      <c r="C1008" s="64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>
      <c r="A1009" s="1"/>
      <c r="B1009" s="1"/>
      <c r="C1009" s="64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>
      <c r="A1010" s="1"/>
      <c r="B1010" s="1"/>
      <c r="C1010" s="64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>
      <c r="A1011" s="1"/>
      <c r="B1011" s="1"/>
      <c r="C1011" s="64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>
      <c r="A1012" s="1"/>
      <c r="B1012" s="1"/>
      <c r="C1012" s="64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>
      <c r="A1013" s="1"/>
      <c r="B1013" s="1"/>
      <c r="C1013" s="64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>
      <c r="A1014" s="1"/>
      <c r="B1014" s="1"/>
      <c r="C1014" s="64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>
      <c r="A1015" s="1"/>
      <c r="B1015" s="1"/>
      <c r="C1015" s="64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>
      <c r="A1016" s="1"/>
      <c r="B1016" s="1"/>
      <c r="C1016" s="64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>
      <c r="A1017" s="1"/>
      <c r="B1017" s="1"/>
      <c r="C1017" s="64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>
      <c r="A1018" s="1"/>
      <c r="B1018" s="1"/>
      <c r="C1018" s="64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>
      <c r="A1019" s="1"/>
      <c r="B1019" s="1"/>
      <c r="C1019" s="64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>
      <c r="A1020" s="1"/>
      <c r="B1020" s="1"/>
      <c r="C1020" s="64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>
      <c r="A1021" s="1"/>
      <c r="B1021" s="1"/>
      <c r="C1021" s="64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>
      <c r="A1022" s="1"/>
      <c r="B1022" s="1"/>
      <c r="C1022" s="64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>
      <c r="A1023" s="1"/>
      <c r="B1023" s="1"/>
      <c r="C1023" s="64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>
      <c r="A1024" s="1"/>
      <c r="B1024" s="1"/>
      <c r="C1024" s="64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>
      <c r="A1025" s="1"/>
      <c r="B1025" s="1"/>
      <c r="C1025" s="64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>
      <c r="A1026" s="1"/>
      <c r="B1026" s="1"/>
      <c r="C1026" s="64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>
      <c r="A1027" s="1"/>
      <c r="B1027" s="1"/>
      <c r="C1027" s="64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>
      <c r="A1028" s="1"/>
      <c r="B1028" s="1"/>
      <c r="C1028" s="64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>
      <c r="A1029" s="1"/>
      <c r="B1029" s="1"/>
      <c r="C1029" s="64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>
      <c r="A1030" s="1"/>
      <c r="B1030" s="1"/>
      <c r="C1030" s="64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>
      <c r="A1031" s="1"/>
      <c r="B1031" s="1"/>
      <c r="C1031" s="64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>
      <c r="A1032" s="1"/>
      <c r="B1032" s="1"/>
      <c r="C1032" s="64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>
      <c r="A1033" s="1"/>
      <c r="B1033" s="1"/>
      <c r="C1033" s="64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>
      <c r="A1034" s="1"/>
      <c r="B1034" s="1"/>
      <c r="C1034" s="64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>
      <c r="A1035" s="1"/>
      <c r="B1035" s="1"/>
      <c r="C1035" s="64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>
      <c r="A1036" s="1"/>
      <c r="B1036" s="1"/>
      <c r="C1036" s="64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>
      <c r="A1037" s="1"/>
      <c r="B1037" s="1"/>
      <c r="C1037" s="64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>
      <c r="A1038" s="1"/>
      <c r="B1038" s="1"/>
      <c r="C1038" s="64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>
      <c r="A1039" s="1"/>
      <c r="B1039" s="1"/>
      <c r="C1039" s="64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>
      <c r="A1040" s="1"/>
      <c r="B1040" s="1"/>
      <c r="C1040" s="64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>
      <c r="A1041" s="1"/>
      <c r="B1041" s="1"/>
      <c r="C1041" s="64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>
      <c r="A1042" s="1"/>
      <c r="B1042" s="1"/>
      <c r="C1042" s="64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>
      <c r="A1043" s="1"/>
      <c r="B1043" s="1"/>
      <c r="C1043" s="64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>
      <c r="A1044" s="1"/>
      <c r="B1044" s="1"/>
      <c r="C1044" s="64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>
      <c r="A1045" s="1"/>
      <c r="B1045" s="1"/>
      <c r="C1045" s="64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>
      <c r="A1046" s="1"/>
      <c r="B1046" s="1"/>
      <c r="C1046" s="64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>
      <c r="A1047" s="1"/>
      <c r="B1047" s="1"/>
      <c r="C1047" s="64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>
      <c r="A1048" s="1"/>
      <c r="B1048" s="1"/>
      <c r="C1048" s="64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>
      <c r="A1049" s="1"/>
      <c r="B1049" s="1"/>
      <c r="C1049" s="64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>
      <c r="A1050" s="1"/>
      <c r="B1050" s="1"/>
      <c r="C1050" s="64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>
      <c r="A1051" s="1"/>
      <c r="B1051" s="1"/>
      <c r="C1051" s="64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>
      <c r="A1052" s="1"/>
      <c r="B1052" s="1"/>
      <c r="C1052" s="64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>
      <c r="A1053" s="1"/>
      <c r="B1053" s="1"/>
      <c r="C1053" s="64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>
      <c r="A1054" s="1"/>
      <c r="B1054" s="1"/>
      <c r="C1054" s="64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>
      <c r="A1055" s="1"/>
      <c r="B1055" s="1"/>
      <c r="C1055" s="64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>
      <c r="A1056" s="1"/>
      <c r="B1056" s="1"/>
      <c r="C1056" s="64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>
      <c r="A1057" s="1"/>
      <c r="B1057" s="1"/>
      <c r="C1057" s="64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>
      <c r="A1058" s="1"/>
      <c r="B1058" s="1"/>
      <c r="C1058" s="64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>
      <c r="A1059" s="1"/>
      <c r="B1059" s="1"/>
      <c r="C1059" s="64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>
      <c r="A1060" s="1"/>
      <c r="B1060" s="1"/>
      <c r="C1060" s="64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</sheetData>
  <conditionalFormatting sqref="A2:A22 A24:A61 A63:A85 A87:A105 A107:A144">
    <cfRule type="cellIs" dxfId="3" priority="1" operator="equal">
      <formula>$P$1</formula>
    </cfRule>
  </conditionalFormatting>
  <conditionalFormatting sqref="A1:A1060">
    <cfRule type="cellIs" dxfId="4" priority="2" operator="equal">
      <formula>$P$2</formula>
    </cfRule>
  </conditionalFormatting>
  <conditionalFormatting sqref="A1:A1060">
    <cfRule type="cellIs" dxfId="5" priority="3" operator="equal">
      <formula>$P$3</formula>
    </cfRule>
  </conditionalFormatting>
  <conditionalFormatting sqref="A1:A1060">
    <cfRule type="cellIs" dxfId="6" priority="4" operator="equal">
      <formula>$P$4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48.5"/>
    <col customWidth="1" min="7" max="7" width="16.75"/>
  </cols>
  <sheetData>
    <row r="1">
      <c r="A1" s="1"/>
      <c r="B1" s="1"/>
      <c r="C1" s="1"/>
      <c r="D1" s="1"/>
      <c r="E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2" t="s">
        <v>64</v>
      </c>
      <c r="B2" s="52" t="s">
        <v>160</v>
      </c>
      <c r="C2" s="52" t="s">
        <v>133</v>
      </c>
      <c r="D2" s="52" t="s">
        <v>88</v>
      </c>
      <c r="E2" s="52" t="s">
        <v>134</v>
      </c>
      <c r="F2" s="65"/>
      <c r="G2" s="65"/>
      <c r="H2" s="65"/>
      <c r="I2" s="65"/>
      <c r="J2" s="65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11" t="str">
        <f>Totals!D2</f>
        <v>Red Dead Cheetahs</v>
      </c>
      <c r="B3" s="11" t="s">
        <v>161</v>
      </c>
      <c r="C3" s="17" t="s">
        <v>162</v>
      </c>
      <c r="D3" s="17">
        <v>1.0</v>
      </c>
      <c r="E3" s="17">
        <v>20.0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4" t="str">
        <f>Totals!E2</f>
        <v>Jurassic Chickens</v>
      </c>
      <c r="B4" s="14" t="s">
        <v>163</v>
      </c>
      <c r="C4" s="17" t="s">
        <v>164</v>
      </c>
      <c r="D4" s="17">
        <v>2.0</v>
      </c>
      <c r="E4" s="17">
        <v>18.0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1" t="str">
        <f>Totals!D2</f>
        <v>Red Dead Cheetahs</v>
      </c>
      <c r="B5" s="11" t="s">
        <v>165</v>
      </c>
      <c r="C5" s="17" t="s">
        <v>166</v>
      </c>
      <c r="D5" s="17">
        <v>3.0</v>
      </c>
      <c r="E5" s="17">
        <v>16.0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8" t="str">
        <f>Totals!C2</f>
        <v>Imagine Pope Kiwis III</v>
      </c>
      <c r="B6" s="8" t="s">
        <v>167</v>
      </c>
      <c r="C6" s="29" t="s">
        <v>168</v>
      </c>
      <c r="D6" s="17">
        <v>4.0</v>
      </c>
      <c r="E6" s="17">
        <v>14.0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4" t="str">
        <f>Totals!E2</f>
        <v>Jurassic Chickens</v>
      </c>
      <c r="B7" s="14" t="s">
        <v>169</v>
      </c>
      <c r="C7" s="17" t="s">
        <v>170</v>
      </c>
      <c r="D7" s="17">
        <v>5.0</v>
      </c>
      <c r="E7" s="17">
        <v>12.0</v>
      </c>
      <c r="F7" s="17"/>
      <c r="G7" s="1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8" t="str">
        <f>Totals!C2</f>
        <v>Imagine Pope Kiwis III</v>
      </c>
      <c r="B8" s="8" t="s">
        <v>171</v>
      </c>
      <c r="C8" s="17" t="s">
        <v>172</v>
      </c>
      <c r="D8" s="17">
        <v>6.0</v>
      </c>
      <c r="E8" s="17">
        <v>10.0</v>
      </c>
      <c r="F8" s="17"/>
      <c r="G8" s="1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" t="str">
        <f>Totals!B2</f>
        <v>Robert</v>
      </c>
      <c r="B9" s="4" t="s">
        <v>173</v>
      </c>
      <c r="C9" s="17" t="s">
        <v>174</v>
      </c>
      <c r="D9" s="17">
        <v>7.0</v>
      </c>
      <c r="E9" s="17">
        <v>8.0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4" t="str">
        <f>Totals!E2</f>
        <v>Jurassic Chickens</v>
      </c>
      <c r="B10" s="14" t="s">
        <v>175</v>
      </c>
      <c r="C10" s="17" t="s">
        <v>176</v>
      </c>
      <c r="D10" s="17">
        <v>8.0</v>
      </c>
      <c r="E10" s="17">
        <v>6.0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" t="str">
        <f>Totals!B2</f>
        <v>Robert</v>
      </c>
      <c r="B11" s="4" t="s">
        <v>177</v>
      </c>
      <c r="C11" s="29" t="s">
        <v>178</v>
      </c>
      <c r="D11" s="17">
        <v>9.0</v>
      </c>
      <c r="E11" s="17">
        <v>4.0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" t="s">
        <v>66</v>
      </c>
      <c r="B12" s="29" t="s">
        <v>179</v>
      </c>
      <c r="C12" s="17" t="s">
        <v>180</v>
      </c>
      <c r="D12" s="17">
        <v>10.0</v>
      </c>
      <c r="E12" s="17">
        <v>2.0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52" t="s">
        <v>64</v>
      </c>
      <c r="B14" s="52" t="s">
        <v>181</v>
      </c>
      <c r="C14" s="52" t="s">
        <v>133</v>
      </c>
      <c r="D14" s="52" t="s">
        <v>88</v>
      </c>
      <c r="E14" s="52" t="s">
        <v>134</v>
      </c>
      <c r="F14" s="65"/>
      <c r="G14" s="65"/>
      <c r="H14" s="65"/>
      <c r="I14" s="65"/>
      <c r="J14" s="65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14" t="str">
        <f>Totals!E2</f>
        <v>Jurassic Chickens</v>
      </c>
      <c r="B15" s="14" t="s">
        <v>182</v>
      </c>
      <c r="C15" s="60">
        <v>0.23958333333333334</v>
      </c>
      <c r="D15" s="17">
        <v>2.0</v>
      </c>
      <c r="E15" s="17">
        <v>18.0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4" t="str">
        <f>Totals!E2</f>
        <v>Jurassic Chickens</v>
      </c>
      <c r="B16" s="14"/>
      <c r="C16" s="1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" t="str">
        <f>Totals!B2</f>
        <v>Robert</v>
      </c>
      <c r="B17" s="4" t="s">
        <v>183</v>
      </c>
      <c r="C17" s="17" t="s">
        <v>184</v>
      </c>
      <c r="D17" s="17">
        <v>4.0</v>
      </c>
      <c r="E17" s="17">
        <v>14.0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" t="str">
        <f>Totals!B2</f>
        <v>Robert</v>
      </c>
      <c r="B18" s="4" t="s">
        <v>185</v>
      </c>
      <c r="C18" s="60">
        <v>0.23055555555555557</v>
      </c>
      <c r="D18" s="17">
        <v>1.0</v>
      </c>
      <c r="E18" s="17">
        <v>20.0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8" t="str">
        <f>Totals!C2</f>
        <v>Imagine Pope Kiwis III</v>
      </c>
      <c r="B19" s="8" t="s">
        <v>186</v>
      </c>
      <c r="C19" s="60">
        <v>0.24583333333333332</v>
      </c>
      <c r="D19" s="17">
        <v>3.0</v>
      </c>
      <c r="E19" s="17">
        <v>16.0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8" t="str">
        <f>Totals!C2</f>
        <v>Imagine Pope Kiwis III</v>
      </c>
      <c r="B20" s="8" t="s">
        <v>187</v>
      </c>
      <c r="C20" s="60">
        <v>0.24930555555555556</v>
      </c>
      <c r="D20" s="17">
        <v>5.0</v>
      </c>
      <c r="E20" s="17">
        <v>12.0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1" t="str">
        <f>Totals!D2</f>
        <v>Red Dead Cheetahs</v>
      </c>
      <c r="B21" s="11" t="s">
        <v>188</v>
      </c>
      <c r="C21" s="60">
        <v>0.24930555555555556</v>
      </c>
      <c r="D21" s="17">
        <v>6.0</v>
      </c>
      <c r="E21" s="17">
        <v>10.0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1" t="str">
        <f>Totals!D2</f>
        <v>Red Dead Cheetahs</v>
      </c>
      <c r="B22" s="1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66"/>
      <c r="B23" s="6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/>
      <c r="B24" s="2"/>
      <c r="C24" s="17"/>
      <c r="D24" s="17"/>
      <c r="E24" s="1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66"/>
      <c r="B25" s="6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66"/>
      <c r="B26" s="6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66"/>
      <c r="B27" s="6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66"/>
      <c r="B28" s="66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/>
      <c r="B29" s="2"/>
      <c r="C29" s="17"/>
      <c r="D29" s="17"/>
      <c r="E29" s="1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66"/>
      <c r="B30" s="6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7"/>
      <c r="B34" s="17"/>
      <c r="C34" s="17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autoFilter ref="$A$2:$E$12">
    <sortState ref="A2:E12">
      <sortCondition ref="C2:C12"/>
    </sortState>
  </autoFilter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5"/>
    <col customWidth="1" min="2" max="2" width="11.75"/>
    <col customWidth="1" min="4" max="4" width="8.38"/>
    <col hidden="1" min="14" max="14" width="12.63"/>
  </cols>
  <sheetData>
    <row r="1">
      <c r="A1" s="17"/>
      <c r="B1" s="17"/>
      <c r="C1" s="1"/>
      <c r="D1" s="1"/>
      <c r="E1" s="67"/>
      <c r="F1" s="67"/>
      <c r="G1" s="1"/>
      <c r="H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52" t="s">
        <v>64</v>
      </c>
      <c r="B2" s="52" t="s">
        <v>189</v>
      </c>
      <c r="C2" s="52" t="s">
        <v>65</v>
      </c>
      <c r="D2" s="52" t="s">
        <v>132</v>
      </c>
      <c r="E2" s="68" t="s">
        <v>190</v>
      </c>
      <c r="F2" s="68" t="s">
        <v>191</v>
      </c>
      <c r="G2" s="69" t="s">
        <v>88</v>
      </c>
      <c r="H2" s="69" t="s">
        <v>134</v>
      </c>
      <c r="I2" s="65"/>
      <c r="J2" s="65"/>
      <c r="K2" s="65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1"/>
      <c r="AC2" s="1"/>
    </row>
    <row r="3">
      <c r="A3" s="17" t="str">
        <f>if(B3="","",(VLOOKUP(B3,Totals!I:J,2,false)))</f>
        <v>Jurassic Chickens</v>
      </c>
      <c r="B3" s="17" t="s">
        <v>53</v>
      </c>
      <c r="C3" s="17">
        <f t="array" ref="C3">INDEX(Totals!K:K,MATCH(B3,Totals!I:I,0))</f>
        <v>8</v>
      </c>
      <c r="D3" s="17" t="s">
        <v>136</v>
      </c>
      <c r="E3" s="70">
        <v>7.7</v>
      </c>
      <c r="F3" s="70"/>
      <c r="G3" s="17">
        <v>4.0</v>
      </c>
      <c r="H3" s="17">
        <v>4.0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4" t="str">
        <f>if(B4="","",(VLOOKUP(B4,Totals!I:J,2,false)))</f>
        <v>Jurassic Chickens</v>
      </c>
      <c r="B4" s="55" t="s">
        <v>123</v>
      </c>
      <c r="C4" s="56">
        <f t="array" ref="C4">INDEX(Totals!K:K,MATCH(B4,Totals!I:I,0))</f>
        <v>8</v>
      </c>
      <c r="D4" s="17" t="s">
        <v>135</v>
      </c>
      <c r="E4" s="70">
        <v>8.68</v>
      </c>
      <c r="F4" s="70"/>
      <c r="G4" s="17">
        <v>1.0</v>
      </c>
      <c r="H4" s="17">
        <v>10.0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 t="str">
        <f>if(B5="","",(VLOOKUP(B5,Totals!I:J,2,false)))</f>
        <v>Robert</v>
      </c>
      <c r="B5" s="71" t="s">
        <v>99</v>
      </c>
      <c r="C5" s="56">
        <f t="array" ref="C5">INDEX(Totals!K:K,MATCH(B5,Totals!I:I,0))</f>
        <v>5</v>
      </c>
      <c r="D5" s="17" t="s">
        <v>136</v>
      </c>
      <c r="E5" s="70">
        <v>4.02</v>
      </c>
      <c r="F5" s="70"/>
      <c r="G5" s="17">
        <v>1.0</v>
      </c>
      <c r="H5" s="17">
        <v>10.0</v>
      </c>
      <c r="I5" s="1"/>
      <c r="J5" s="1"/>
      <c r="K5" s="1"/>
      <c r="L5" s="1"/>
      <c r="M5" s="1"/>
      <c r="N5" s="54" t="str">
        <f>Totals!D2</f>
        <v>Red Dead Cheetahs</v>
      </c>
      <c r="O5" s="17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7" t="str">
        <f>if(B6="","",(VLOOKUP(B6,Totals!I:J,2,false)))</f>
        <v>Robert</v>
      </c>
      <c r="B6" s="71" t="s">
        <v>8</v>
      </c>
      <c r="C6" s="56">
        <f t="array" ref="C6">INDEX(Totals!K:K,MATCH(B6,Totals!I:I,0))</f>
        <v>6</v>
      </c>
      <c r="D6" s="17" t="s">
        <v>135</v>
      </c>
      <c r="E6" s="70">
        <v>6.12</v>
      </c>
      <c r="F6" s="70"/>
      <c r="G6" s="17">
        <v>1.0</v>
      </c>
      <c r="H6" s="17">
        <v>10.0</v>
      </c>
      <c r="I6" s="1"/>
      <c r="J6" s="1"/>
      <c r="K6" s="1"/>
      <c r="L6" s="1"/>
      <c r="M6" s="1"/>
      <c r="N6" s="1"/>
      <c r="O6" s="17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4" t="str">
        <f>if(B7="","",(VLOOKUP(B7,Totals!I:J,2,false)))</f>
        <v>Jurassic Chickens</v>
      </c>
      <c r="B7" s="55" t="s">
        <v>128</v>
      </c>
      <c r="C7" s="56">
        <f t="array" ref="C7">INDEX(Totals!K:K,MATCH(B7,Totals!I:I,0))</f>
        <v>5</v>
      </c>
      <c r="D7" s="17" t="s">
        <v>136</v>
      </c>
      <c r="E7" s="70">
        <v>4.0</v>
      </c>
      <c r="F7" s="70"/>
      <c r="G7" s="17">
        <v>2.0</v>
      </c>
      <c r="H7" s="17">
        <v>8.0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7" t="str">
        <f>if(B8="","",(VLOOKUP(B8,Totals!I:J,2,false)))</f>
        <v>Robert</v>
      </c>
      <c r="B8" s="71" t="s">
        <v>73</v>
      </c>
      <c r="C8" s="56">
        <f t="array" ref="C8">INDEX(Totals!K:K,MATCH(B8,Totals!I:I,0))</f>
        <v>8</v>
      </c>
      <c r="D8" s="17" t="s">
        <v>135</v>
      </c>
      <c r="E8" s="70">
        <v>7.1</v>
      </c>
      <c r="F8" s="70"/>
      <c r="G8" s="17">
        <v>2.0</v>
      </c>
      <c r="H8" s="17">
        <v>8.0</v>
      </c>
      <c r="N8" s="54" t="str">
        <f>Totals!C2</f>
        <v>Imagine Pope Kiwis III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17" t="str">
        <f>if(B9="","",(VLOOKUP(B9,Totals!I:J,2,false)))</f>
        <v>Red Dead Cheetahs</v>
      </c>
      <c r="B9" s="55" t="s">
        <v>40</v>
      </c>
      <c r="C9" s="56">
        <f t="array" ref="C9">INDEX(Totals!K:K,MATCH(B9,Totals!I:I,0))</f>
        <v>8</v>
      </c>
      <c r="D9" s="17" t="s">
        <v>135</v>
      </c>
      <c r="E9" s="70">
        <v>5.98</v>
      </c>
      <c r="F9" s="70"/>
      <c r="G9" s="17">
        <v>3.0</v>
      </c>
      <c r="H9" s="17">
        <v>6.0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7" t="str">
        <f>if(B10="","",(VLOOKUP(B10,Totals!I:J,2,false)))</f>
        <v>Robert</v>
      </c>
      <c r="B10" s="71" t="s">
        <v>82</v>
      </c>
      <c r="C10" s="56">
        <f t="array" ref="C10">INDEX(Totals!K:K,MATCH(B10,Totals!I:I,0))</f>
        <v>7</v>
      </c>
      <c r="D10" s="17" t="s">
        <v>136</v>
      </c>
      <c r="E10" s="70">
        <v>6.35</v>
      </c>
      <c r="F10" s="70"/>
      <c r="G10" s="17">
        <v>3.0</v>
      </c>
      <c r="H10" s="17">
        <v>6.0</v>
      </c>
      <c r="N10" s="54" t="str">
        <f>Totals!B2</f>
        <v>Robert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17" t="str">
        <f>if(B11="","",(VLOOKUP(B11,Totals!I:J,2,false)))</f>
        <v>Red Dead Cheetahs</v>
      </c>
      <c r="B11" s="57" t="s">
        <v>119</v>
      </c>
      <c r="C11" s="56">
        <f t="array" ref="C11">INDEX(Totals!K:K,MATCH(B11,Totals!I:I,0))</f>
        <v>5</v>
      </c>
      <c r="D11" s="17" t="s">
        <v>135</v>
      </c>
      <c r="E11" s="70">
        <v>5.0</v>
      </c>
      <c r="F11" s="70"/>
      <c r="G11" s="17">
        <v>2.0</v>
      </c>
      <c r="H11" s="17">
        <v>8.0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18.0" customHeight="1">
      <c r="A12" s="17" t="str">
        <f>if(B12="","",(VLOOKUP(B12,Totals!I:J,2,false)))</f>
        <v>Imagine Pope Kiwis III</v>
      </c>
      <c r="B12" s="55" t="s">
        <v>109</v>
      </c>
      <c r="C12" s="56">
        <f t="array" ref="C12">INDEX(Totals!K:K,MATCH(B12,Totals!I:I,0))</f>
        <v>5</v>
      </c>
      <c r="D12" s="17" t="s">
        <v>136</v>
      </c>
      <c r="E12" s="70">
        <v>3.82</v>
      </c>
      <c r="F12" s="70"/>
      <c r="G12" s="17">
        <v>3.0</v>
      </c>
      <c r="H12" s="17">
        <v>6.0</v>
      </c>
      <c r="I12" s="1"/>
      <c r="J12" s="1"/>
      <c r="K12" s="1"/>
      <c r="L12" s="1"/>
      <c r="M12" s="1"/>
      <c r="N12" s="1"/>
      <c r="O12" s="17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17.25" customHeight="1">
      <c r="A13" s="17" t="str">
        <f>if(B13="","",(VLOOKUP(B13,Totals!I:J,2,false)))</f>
        <v>Red Dead Cheetahs</v>
      </c>
      <c r="B13" s="55" t="s">
        <v>116</v>
      </c>
      <c r="C13" s="56">
        <f t="array" ref="C13">INDEX(Totals!K:K,MATCH(B13,Totals!I:I,0))</f>
        <v>7</v>
      </c>
      <c r="D13" s="17" t="s">
        <v>136</v>
      </c>
      <c r="E13" s="70">
        <v>6.1</v>
      </c>
      <c r="F13" s="70"/>
      <c r="G13" s="17">
        <v>2.0</v>
      </c>
      <c r="H13" s="17">
        <v>8.0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t="21.0" customHeight="1">
      <c r="A14" s="17" t="str">
        <f>if(B14="","",(VLOOKUP(B14,Totals!I:J,2,false)))</f>
        <v>Robert</v>
      </c>
      <c r="B14" s="17" t="s">
        <v>12</v>
      </c>
      <c r="C14" s="56">
        <f t="array" ref="C14">INDEX(Totals!K:K,MATCH(B14,Totals!I:I,0))</f>
        <v>8</v>
      </c>
      <c r="D14" s="17" t="s">
        <v>135</v>
      </c>
      <c r="E14" s="70">
        <v>5.69</v>
      </c>
      <c r="F14" s="70"/>
      <c r="G14" s="17">
        <v>4.0</v>
      </c>
      <c r="H14" s="17">
        <v>4.0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t="25.5" customHeight="1">
      <c r="A15" s="14" t="str">
        <f>if(B15="","",(VLOOKUP(B15,Totals!I:J,2,false)))</f>
        <v>Jurassic Chickens</v>
      </c>
      <c r="B15" s="55" t="s">
        <v>27</v>
      </c>
      <c r="C15" s="56">
        <f t="array" ref="C15">INDEX(Totals!K:K,MATCH(B15,Totals!I:I,0))</f>
        <v>8</v>
      </c>
      <c r="D15" s="17" t="s">
        <v>135</v>
      </c>
      <c r="E15" s="70">
        <v>5.64</v>
      </c>
      <c r="F15" s="70"/>
      <c r="G15" s="17">
        <v>5.0</v>
      </c>
      <c r="H15" s="17">
        <v>2.0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t="18.0" customHeight="1">
      <c r="A16" s="14" t="str">
        <f>if(B16="","",(VLOOKUP(B16,Totals!I:J,2,false)))</f>
        <v>Jurassic Chickens</v>
      </c>
      <c r="B16" s="55" t="s">
        <v>129</v>
      </c>
      <c r="C16" s="56">
        <f t="array" ref="C16">INDEX(Totals!K:K,MATCH(B16,Totals!I:I,0))</f>
        <v>5</v>
      </c>
      <c r="D16" s="17" t="s">
        <v>136</v>
      </c>
      <c r="E16" s="70">
        <v>3.72</v>
      </c>
      <c r="F16" s="70"/>
      <c r="G16" s="17">
        <v>4.0</v>
      </c>
      <c r="H16" s="17">
        <v>4.0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7" t="str">
        <f>if(B17="","",(VLOOKUP(B17,Totals!I:J,2,false)))</f>
        <v>Red Dead Cheetahs</v>
      </c>
      <c r="B17" s="55" t="s">
        <v>46</v>
      </c>
      <c r="C17" s="56">
        <f t="array" ref="C17">INDEX(Totals!K:K,MATCH(B17,Totals!I:I,0))</f>
        <v>6</v>
      </c>
      <c r="D17" s="17" t="s">
        <v>136</v>
      </c>
      <c r="E17" s="70">
        <v>3.36</v>
      </c>
      <c r="F17" s="70"/>
      <c r="G17" s="17">
        <v>5.0</v>
      </c>
      <c r="H17" s="17">
        <v>2.0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4" t="str">
        <f>if(B18="","",(VLOOKUP(B18,Totals!I:J,2,false)))</f>
        <v>Jurassic Chickens</v>
      </c>
      <c r="B18" s="55" t="s">
        <v>122</v>
      </c>
      <c r="C18" s="56">
        <f t="array" ref="C18">INDEX(Totals!K:K,MATCH(B18,Totals!I:I,0))</f>
        <v>8</v>
      </c>
      <c r="D18" s="17" t="s">
        <v>136</v>
      </c>
      <c r="E18" s="70">
        <v>5.61</v>
      </c>
      <c r="F18" s="70"/>
      <c r="G18" s="17">
        <v>1.0</v>
      </c>
      <c r="H18" s="17">
        <v>10.0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7" t="str">
        <f>if(B19="","",(VLOOKUP(B19,Totals!I:J,2,false)))</f>
        <v>Imagine Pope Kiwis III</v>
      </c>
      <c r="B19" s="55" t="s">
        <v>101</v>
      </c>
      <c r="C19" s="56">
        <f t="array" ref="C19">INDEX(Totals!K:K,MATCH(B19,Totals!I:I,0))</f>
        <v>8</v>
      </c>
      <c r="D19" s="17" t="s">
        <v>135</v>
      </c>
      <c r="E19" s="70">
        <v>4.86</v>
      </c>
      <c r="F19" s="70"/>
      <c r="G19" s="17"/>
      <c r="H19" s="1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7" t="str">
        <f>if(B20="","",(VLOOKUP(B20,Totals!I:J,2,false)))</f>
        <v>Imagine Pope Kiwis III</v>
      </c>
      <c r="B20" s="57" t="s">
        <v>104</v>
      </c>
      <c r="C20" s="56">
        <f t="array" ref="C20">INDEX(Totals!K:K,MATCH(B20,Totals!I:I,0))</f>
        <v>8</v>
      </c>
      <c r="D20" s="17" t="s">
        <v>136</v>
      </c>
      <c r="E20" s="70"/>
      <c r="F20" s="70"/>
      <c r="G20" s="17"/>
      <c r="H20" s="1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7" t="str">
        <f>if(B21="","",(VLOOKUP(B21,Totals!I:J,2,false)))</f>
        <v>Imagine Pope Kiwis III</v>
      </c>
      <c r="B21" s="57" t="s">
        <v>14</v>
      </c>
      <c r="C21" s="56">
        <f t="array" ref="C21">INDEX(Totals!K:K,MATCH(B21,Totals!I:I,0))</f>
        <v>8</v>
      </c>
      <c r="D21" s="17" t="s">
        <v>135</v>
      </c>
      <c r="E21" s="70"/>
      <c r="F21" s="70"/>
      <c r="G21" s="17"/>
      <c r="H21" s="1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7" t="str">
        <f>if(B22="","",(VLOOKUP(B22,Totals!I:J,2,false)))</f>
        <v/>
      </c>
      <c r="B22" s="17"/>
      <c r="C22" s="17"/>
      <c r="D22" s="17"/>
      <c r="E22" s="70"/>
      <c r="F22" s="70"/>
      <c r="G22" s="17"/>
      <c r="H22" s="1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7" t="str">
        <f>if(B23="","",(VLOOKUP(B23,Totals!I:J,2,false)))</f>
        <v/>
      </c>
      <c r="B23" s="17"/>
      <c r="C23" s="17"/>
      <c r="D23" s="17"/>
      <c r="E23" s="70"/>
      <c r="F23" s="67"/>
      <c r="G23" s="17"/>
      <c r="H23" s="1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7" t="str">
        <f>if(B24="","",(VLOOKUP(B24,Totals!I:J,2,false)))</f>
        <v/>
      </c>
      <c r="B24" s="17"/>
      <c r="C24" s="17"/>
      <c r="D24" s="17"/>
      <c r="E24" s="70"/>
      <c r="F24" s="67"/>
      <c r="G24" s="17"/>
      <c r="H24" s="1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7" t="str">
        <f>if(B25="","",(VLOOKUP(B25,Totals!I:J,2,false)))</f>
        <v/>
      </c>
      <c r="B25" s="17"/>
      <c r="C25" s="17"/>
      <c r="D25" s="17"/>
      <c r="E25" s="70"/>
      <c r="F25" s="67"/>
      <c r="G25" s="17"/>
      <c r="H25" s="1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52" t="s">
        <v>64</v>
      </c>
      <c r="B26" s="52" t="s">
        <v>192</v>
      </c>
      <c r="C26" s="52" t="s">
        <v>65</v>
      </c>
      <c r="D26" s="52" t="s">
        <v>132</v>
      </c>
      <c r="E26" s="68" t="s">
        <v>190</v>
      </c>
      <c r="F26" s="68" t="s">
        <v>191</v>
      </c>
      <c r="G26" s="69" t="s">
        <v>88</v>
      </c>
      <c r="H26" s="69" t="s">
        <v>134</v>
      </c>
      <c r="I26" s="65"/>
      <c r="J26" s="65"/>
      <c r="K26" s="65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1"/>
      <c r="AC26" s="1"/>
    </row>
    <row r="27">
      <c r="A27" s="17" t="str">
        <f>if(B27="","",(VLOOKUP(B27,Totals!I:J,2,false)))</f>
        <v>Jurassic Chickens</v>
      </c>
      <c r="B27" s="17" t="s">
        <v>53</v>
      </c>
      <c r="C27" s="17">
        <f t="array" ref="C27">INDEX(Totals!K:K,MATCH(B27,Totals!I:I,0))</f>
        <v>8</v>
      </c>
      <c r="D27" s="17" t="s">
        <v>136</v>
      </c>
      <c r="E27" s="70">
        <v>17.18</v>
      </c>
      <c r="F27" s="67"/>
      <c r="G27" s="17">
        <v>1.0</v>
      </c>
      <c r="H27" s="17">
        <v>10.0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4" t="str">
        <f>if(B28="","",(VLOOKUP(B28,Totals!I:J,2,false)))</f>
        <v>Jurassic Chickens</v>
      </c>
      <c r="B28" s="57" t="s">
        <v>123</v>
      </c>
      <c r="C28" s="56">
        <f t="array" ref="C28">INDEX(Totals!K:K,MATCH(B28,Totals!I:I,0))</f>
        <v>8</v>
      </c>
      <c r="D28" s="17" t="s">
        <v>135</v>
      </c>
      <c r="E28" s="70">
        <v>19.43</v>
      </c>
      <c r="F28" s="67"/>
      <c r="G28" s="17">
        <v>1.0</v>
      </c>
      <c r="H28" s="17">
        <v>10.0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7" t="str">
        <f>if(B29="","",(VLOOKUP(B29,Totals!I:J,2,false)))</f>
        <v>Imagine Pope Kiwis III</v>
      </c>
      <c r="B29" s="55" t="s">
        <v>34</v>
      </c>
      <c r="C29" s="56">
        <f t="array" ref="C29">INDEX(Totals!K:K,MATCH(B29,Totals!I:I,0))</f>
        <v>6</v>
      </c>
      <c r="D29" s="17" t="s">
        <v>136</v>
      </c>
      <c r="E29" s="70">
        <v>10.43</v>
      </c>
      <c r="F29" s="70"/>
      <c r="G29" s="17">
        <v>1.0</v>
      </c>
      <c r="H29" s="17">
        <v>10.0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4" t="str">
        <f>if(B30="","",(VLOOKUP(B30,Totals!I:J,2,false)))</f>
        <v>Jurassic Chickens</v>
      </c>
      <c r="B30" s="57" t="s">
        <v>130</v>
      </c>
      <c r="C30" s="56">
        <f t="array" ref="C30">INDEX(Totals!K:K,MATCH(B30,Totals!I:I,0))</f>
        <v>5</v>
      </c>
      <c r="D30" s="17" t="s">
        <v>136</v>
      </c>
      <c r="E30" s="70">
        <v>10.31</v>
      </c>
      <c r="F30" s="67"/>
      <c r="G30" s="17">
        <v>2.0</v>
      </c>
      <c r="H30" s="17">
        <v>8.0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7" t="str">
        <f>if(B31="","",(VLOOKUP(B31,Totals!I:J,2,false)))</f>
        <v>Robert</v>
      </c>
      <c r="B31" s="55" t="s">
        <v>99</v>
      </c>
      <c r="C31" s="56">
        <f t="array" ref="C31">INDEX(Totals!K:K,MATCH(B31,Totals!I:I,0))</f>
        <v>5</v>
      </c>
      <c r="D31" s="17" t="s">
        <v>136</v>
      </c>
      <c r="E31" s="70">
        <v>6.93</v>
      </c>
      <c r="F31" s="70"/>
      <c r="G31" s="17">
        <v>3.0</v>
      </c>
      <c r="H31" s="17">
        <v>6.0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7" t="str">
        <f>if(B32="","",(VLOOKUP(B32,Totals!I:J,2,false)))</f>
        <v>Robert</v>
      </c>
      <c r="B32" s="55" t="s">
        <v>73</v>
      </c>
      <c r="C32" s="56">
        <f t="array" ref="C32">INDEX(Totals!K:K,MATCH(B32,Totals!I:I,0))</f>
        <v>8</v>
      </c>
      <c r="D32" s="17" t="s">
        <v>135</v>
      </c>
      <c r="E32" s="70">
        <v>14.38</v>
      </c>
      <c r="F32" s="70"/>
      <c r="G32" s="17">
        <v>2.0</v>
      </c>
      <c r="H32" s="17">
        <v>8.0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7" t="str">
        <f>if(B33="","",(VLOOKUP(B33,Totals!I:J,2,false)))</f>
        <v>Imagine Pope Kiwis III</v>
      </c>
      <c r="B33" s="57" t="s">
        <v>20</v>
      </c>
      <c r="C33" s="56">
        <f t="array" ref="C33">INDEX(Totals!K:K,MATCH(B33,Totals!I:I,0))</f>
        <v>6</v>
      </c>
      <c r="D33" s="17" t="s">
        <v>135</v>
      </c>
      <c r="E33" s="70">
        <v>11.11</v>
      </c>
      <c r="F33" s="67"/>
      <c r="G33" s="17">
        <v>1.0</v>
      </c>
      <c r="H33" s="17">
        <v>10.0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7" t="str">
        <f>if(B34="","",(VLOOKUP(B34,Totals!I:J,2,false)))</f>
        <v>Red Dead Cheetahs</v>
      </c>
      <c r="B34" s="57" t="s">
        <v>121</v>
      </c>
      <c r="C34" s="56">
        <f t="array" ref="C34">INDEX(Totals!K:K,MATCH(B34,Totals!I:I,0))</f>
        <v>5</v>
      </c>
      <c r="D34" s="17" t="s">
        <v>136</v>
      </c>
      <c r="E34" s="70">
        <v>6.69</v>
      </c>
      <c r="F34" s="67"/>
      <c r="G34" s="17">
        <v>4.0</v>
      </c>
      <c r="H34" s="17">
        <v>4.0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7" t="str">
        <f>if(B35="","",(VLOOKUP(B35,Totals!I:J,2,false)))</f>
        <v>Imagine Pope Kiwis III</v>
      </c>
      <c r="B35" s="55" t="s">
        <v>111</v>
      </c>
      <c r="C35" s="56">
        <f t="array" ref="C35">INDEX(Totals!K:K,MATCH(B35,Totals!I:I,0))</f>
        <v>5</v>
      </c>
      <c r="D35" s="17" t="s">
        <v>136</v>
      </c>
      <c r="E35" s="70">
        <v>6.1</v>
      </c>
      <c r="F35" s="70"/>
      <c r="G35" s="17">
        <v>5.0</v>
      </c>
      <c r="H35" s="17">
        <v>2.0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7" t="str">
        <f>if(B36="","",(VLOOKUP(B36,Totals!I:J,2,false)))</f>
        <v>Imagine Pope Kiwis III</v>
      </c>
      <c r="B36" s="55" t="s">
        <v>193</v>
      </c>
      <c r="C36" s="56">
        <f t="array" ref="C36">INDEX(Totals!K:K,MATCH(B36,Totals!I:I,0))</f>
        <v>8</v>
      </c>
      <c r="D36" s="17" t="s">
        <v>135</v>
      </c>
      <c r="E36" s="70">
        <v>9.8</v>
      </c>
      <c r="F36" s="67"/>
      <c r="G36" s="17">
        <v>3.0</v>
      </c>
      <c r="H36" s="17">
        <v>6.0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7" t="str">
        <f>if(B37="","",(VLOOKUP(B37,Totals!I:J,2,false)))</f>
        <v>Red Dead Cheetahs</v>
      </c>
      <c r="B37" s="55" t="s">
        <v>40</v>
      </c>
      <c r="C37" s="56">
        <f t="array" ref="C37">INDEX(Totals!K:K,MATCH(B37,Totals!I:I,0))</f>
        <v>8</v>
      </c>
      <c r="D37" s="17" t="s">
        <v>135</v>
      </c>
      <c r="E37" s="70">
        <v>9.51</v>
      </c>
      <c r="F37" s="67"/>
      <c r="G37" s="17">
        <v>4.0</v>
      </c>
      <c r="H37" s="17">
        <v>4.0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4" t="str">
        <f>if(B38="","",(VLOOKUP(B38,Totals!I:J,2,false)))</f>
        <v>Jurassic Chickens</v>
      </c>
      <c r="B38" s="57" t="s">
        <v>131</v>
      </c>
      <c r="C38" s="56">
        <f t="array" ref="C38">INDEX(Totals!K:K,MATCH(B38,Totals!I:I,0))</f>
        <v>5</v>
      </c>
      <c r="D38" s="17" t="s">
        <v>135</v>
      </c>
      <c r="E38" s="70"/>
      <c r="F38" s="70"/>
      <c r="G38" s="17"/>
      <c r="H38" s="1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7" t="str">
        <f>if(B39="","",(VLOOKUP(B39,Totals!I:J,2,false)))</f>
        <v>Red Dead Cheetahs</v>
      </c>
      <c r="B39" s="57" t="s">
        <v>117</v>
      </c>
      <c r="C39" s="56">
        <f t="array" ref="C39">INDEX(Totals!K:K,MATCH(B39,Totals!I:I,0))</f>
        <v>6</v>
      </c>
      <c r="D39" s="17" t="s">
        <v>136</v>
      </c>
      <c r="E39" s="70">
        <v>5.32</v>
      </c>
      <c r="F39" s="70"/>
      <c r="G39" s="17"/>
      <c r="H39" s="1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4" t="str">
        <f>if(B40="","",(VLOOKUP(B40,Totals!I:J,2,false)))</f>
        <v>Jurassic Chickens</v>
      </c>
      <c r="B40" s="57" t="s">
        <v>52</v>
      </c>
      <c r="C40" s="56">
        <f t="array" ref="C40">INDEX(Totals!K:K,MATCH(B40,Totals!I:I,0))</f>
        <v>8</v>
      </c>
      <c r="D40" s="17" t="s">
        <v>136</v>
      </c>
      <c r="E40" s="70">
        <v>16.82</v>
      </c>
      <c r="F40" s="67"/>
      <c r="G40" s="17">
        <v>2.0</v>
      </c>
      <c r="H40" s="17">
        <v>8.0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7" t="str">
        <f>if(B41="","",(VLOOKUP(B41,Totals!I:J,2,false)))</f>
        <v>Robert</v>
      </c>
      <c r="B41" s="55" t="s">
        <v>24</v>
      </c>
      <c r="C41" s="56">
        <f t="array" ref="C41">INDEX(Totals!K:K,MATCH(B41,Totals!I:I,0))</f>
        <v>7</v>
      </c>
      <c r="D41" s="17" t="s">
        <v>136</v>
      </c>
      <c r="E41" s="70">
        <v>11.14</v>
      </c>
      <c r="F41" s="70"/>
      <c r="G41" s="17">
        <v>3.0</v>
      </c>
      <c r="H41" s="17">
        <v>6.0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7" t="str">
        <f>if(B42="","",(VLOOKUP(B42,Totals!I:J,2,false)))</f>
        <v/>
      </c>
      <c r="B42" s="17"/>
      <c r="C42" s="17"/>
      <c r="D42" s="17"/>
      <c r="E42" s="70"/>
      <c r="F42" s="70"/>
      <c r="G42" s="17"/>
      <c r="H42" s="1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7" t="str">
        <f>if(B43="","",(VLOOKUP(B43,Totals!I:J,2,false)))</f>
        <v/>
      </c>
      <c r="B43" s="17"/>
      <c r="C43" s="17"/>
      <c r="D43" s="17"/>
      <c r="E43" s="70"/>
      <c r="F43" s="67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7" t="str">
        <f>if(B44="","",(VLOOKUP(B44,Totals!I:J,2,false)))</f>
        <v/>
      </c>
      <c r="B44" s="17"/>
      <c r="C44" s="17"/>
      <c r="D44" s="17"/>
      <c r="E44" s="70"/>
      <c r="F44" s="67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"/>
      <c r="C45" s="1"/>
      <c r="D45" s="1"/>
      <c r="E45" s="67"/>
      <c r="F45" s="67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1"/>
      <c r="D46" s="1"/>
      <c r="E46" s="67"/>
      <c r="F46" s="67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"/>
      <c r="C47" s="1"/>
      <c r="D47" s="1"/>
      <c r="E47" s="67"/>
      <c r="F47" s="6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"/>
      <c r="C48" s="1"/>
      <c r="D48" s="1"/>
      <c r="E48" s="67"/>
      <c r="F48" s="67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"/>
      <c r="C49" s="1"/>
      <c r="D49" s="1"/>
      <c r="E49" s="67"/>
      <c r="F49" s="67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"/>
      <c r="C50" s="1"/>
      <c r="D50" s="1"/>
      <c r="E50" s="67"/>
      <c r="F50" s="67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"/>
      <c r="C51" s="1"/>
      <c r="D51" s="1"/>
      <c r="E51" s="67"/>
      <c r="F51" s="67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"/>
      <c r="C52" s="1"/>
      <c r="D52" s="1"/>
      <c r="E52" s="67"/>
      <c r="F52" s="67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"/>
      <c r="C53" s="1"/>
      <c r="D53" s="1"/>
      <c r="E53" s="67"/>
      <c r="F53" s="67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"/>
      <c r="C54" s="1"/>
      <c r="D54" s="1"/>
      <c r="E54" s="67"/>
      <c r="F54" s="67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"/>
      <c r="C55" s="1"/>
      <c r="D55" s="1"/>
      <c r="E55" s="67"/>
      <c r="F55" s="67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"/>
      <c r="C56" s="1"/>
      <c r="D56" s="1"/>
      <c r="E56" s="67"/>
      <c r="F56" s="67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"/>
      <c r="C57" s="1"/>
      <c r="D57" s="1"/>
      <c r="E57" s="67"/>
      <c r="F57" s="67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"/>
      <c r="C58" s="1"/>
      <c r="D58" s="1"/>
      <c r="E58" s="67"/>
      <c r="F58" s="67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"/>
      <c r="C59" s="1"/>
      <c r="D59" s="1"/>
      <c r="E59" s="67"/>
      <c r="F59" s="67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"/>
      <c r="C60" s="1"/>
      <c r="D60" s="1"/>
      <c r="E60" s="67"/>
      <c r="F60" s="67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"/>
      <c r="C61" s="1"/>
      <c r="D61" s="1"/>
      <c r="E61" s="67"/>
      <c r="F61" s="67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"/>
      <c r="C62" s="1"/>
      <c r="D62" s="1"/>
      <c r="E62" s="67"/>
      <c r="F62" s="67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"/>
      <c r="C63" s="1"/>
      <c r="D63" s="1"/>
      <c r="E63" s="67"/>
      <c r="F63" s="67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1"/>
      <c r="C64" s="1"/>
      <c r="D64" s="1"/>
      <c r="E64" s="67"/>
      <c r="F64" s="67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"/>
      <c r="C65" s="1"/>
      <c r="D65" s="1"/>
      <c r="E65" s="67"/>
      <c r="F65" s="67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"/>
      <c r="C66" s="1"/>
      <c r="D66" s="1"/>
      <c r="E66" s="67"/>
      <c r="F66" s="67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"/>
      <c r="C67" s="1"/>
      <c r="D67" s="1"/>
      <c r="E67" s="67"/>
      <c r="F67" s="67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"/>
      <c r="C68" s="1"/>
      <c r="D68" s="1"/>
      <c r="E68" s="67"/>
      <c r="F68" s="67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1"/>
      <c r="D69" s="1"/>
      <c r="E69" s="67"/>
      <c r="F69" s="67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"/>
      <c r="C70" s="1"/>
      <c r="D70" s="1"/>
      <c r="E70" s="67"/>
      <c r="F70" s="67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"/>
      <c r="C71" s="1"/>
      <c r="D71" s="1"/>
      <c r="E71" s="67"/>
      <c r="F71" s="67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1"/>
      <c r="D72" s="1"/>
      <c r="E72" s="67"/>
      <c r="F72" s="67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1"/>
      <c r="D73" s="1"/>
      <c r="E73" s="67"/>
      <c r="F73" s="67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1"/>
      <c r="D74" s="1"/>
      <c r="E74" s="67"/>
      <c r="F74" s="67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1"/>
      <c r="D75" s="1"/>
      <c r="E75" s="67"/>
      <c r="F75" s="67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1"/>
      <c r="D76" s="1"/>
      <c r="E76" s="67"/>
      <c r="F76" s="67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1"/>
      <c r="D77" s="1"/>
      <c r="E77" s="67"/>
      <c r="F77" s="6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1"/>
      <c r="D78" s="1"/>
      <c r="E78" s="67"/>
      <c r="F78" s="67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1"/>
      <c r="D79" s="1"/>
      <c r="E79" s="67"/>
      <c r="F79" s="67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1"/>
      <c r="D80" s="1"/>
      <c r="E80" s="67"/>
      <c r="F80" s="67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1"/>
      <c r="D81" s="1"/>
      <c r="E81" s="67"/>
      <c r="F81" s="67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1"/>
      <c r="D82" s="1"/>
      <c r="E82" s="67"/>
      <c r="F82" s="67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1"/>
      <c r="D83" s="1"/>
      <c r="E83" s="67"/>
      <c r="F83" s="67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1"/>
      <c r="D84" s="1"/>
      <c r="E84" s="67"/>
      <c r="F84" s="67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1"/>
      <c r="D85" s="1"/>
      <c r="E85" s="67"/>
      <c r="F85" s="67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1"/>
      <c r="D86" s="1"/>
      <c r="E86" s="67"/>
      <c r="F86" s="67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1"/>
      <c r="D87" s="1"/>
      <c r="E87" s="67"/>
      <c r="F87" s="67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1"/>
      <c r="D88" s="1"/>
      <c r="E88" s="67"/>
      <c r="F88" s="67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1"/>
      <c r="D89" s="1"/>
      <c r="E89" s="67"/>
      <c r="F89" s="67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1"/>
      <c r="D90" s="1"/>
      <c r="E90" s="67"/>
      <c r="F90" s="67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1"/>
      <c r="D91" s="1"/>
      <c r="E91" s="67"/>
      <c r="F91" s="67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1"/>
      <c r="D92" s="1"/>
      <c r="E92" s="67"/>
      <c r="F92" s="6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1"/>
      <c r="D93" s="1"/>
      <c r="E93" s="67"/>
      <c r="F93" s="67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1"/>
      <c r="D94" s="1"/>
      <c r="E94" s="67"/>
      <c r="F94" s="67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1"/>
      <c r="D95" s="1"/>
      <c r="E95" s="67"/>
      <c r="F95" s="6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1"/>
      <c r="D96" s="1"/>
      <c r="E96" s="67"/>
      <c r="F96" s="6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1"/>
      <c r="D97" s="1"/>
      <c r="E97" s="67"/>
      <c r="F97" s="6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1"/>
      <c r="D98" s="1"/>
      <c r="E98" s="67"/>
      <c r="F98" s="6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1"/>
      <c r="D99" s="1"/>
      <c r="E99" s="67"/>
      <c r="F99" s="6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1"/>
      <c r="D100" s="1"/>
      <c r="E100" s="67"/>
      <c r="F100" s="6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1"/>
      <c r="D101" s="1"/>
      <c r="E101" s="67"/>
      <c r="F101" s="6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1"/>
      <c r="E102" s="67"/>
      <c r="F102" s="6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1"/>
      <c r="E103" s="67"/>
      <c r="F103" s="6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1"/>
      <c r="E104" s="67"/>
      <c r="F104" s="6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1"/>
      <c r="E105" s="67"/>
      <c r="F105" s="6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67"/>
      <c r="F106" s="67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67"/>
      <c r="F107" s="67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67"/>
      <c r="F108" s="67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67"/>
      <c r="F109" s="67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67"/>
      <c r="F110" s="67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67"/>
      <c r="F111" s="67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67"/>
      <c r="F112" s="67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67"/>
      <c r="F113" s="67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67"/>
      <c r="F114" s="67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67"/>
      <c r="F115" s="67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67"/>
      <c r="F116" s="67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67"/>
      <c r="F117" s="67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67"/>
      <c r="F118" s="67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67"/>
      <c r="F119" s="67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67"/>
      <c r="F120" s="67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67"/>
      <c r="F121" s="67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67"/>
      <c r="F122" s="67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67"/>
      <c r="F123" s="67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67"/>
      <c r="F124" s="67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67"/>
      <c r="F125" s="67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67"/>
      <c r="F126" s="67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67"/>
      <c r="F127" s="67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67"/>
      <c r="F128" s="67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67"/>
      <c r="F129" s="67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67"/>
      <c r="F130" s="67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67"/>
      <c r="F131" s="67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67"/>
      <c r="F132" s="67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67"/>
      <c r="F133" s="67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67"/>
      <c r="F134" s="67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67"/>
      <c r="F135" s="67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67"/>
      <c r="F136" s="67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67"/>
      <c r="F137" s="67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67"/>
      <c r="F138" s="67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67"/>
      <c r="F139" s="67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67"/>
      <c r="F140" s="67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67"/>
      <c r="F141" s="67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67"/>
      <c r="F142" s="67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67"/>
      <c r="F143" s="67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67"/>
      <c r="F144" s="67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67"/>
      <c r="F145" s="67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67"/>
      <c r="F146" s="67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67"/>
      <c r="F147" s="67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67"/>
      <c r="F148" s="67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67"/>
      <c r="F149" s="67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67"/>
      <c r="F150" s="67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67"/>
      <c r="F151" s="67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67"/>
      <c r="F152" s="67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67"/>
      <c r="F153" s="67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67"/>
      <c r="F154" s="67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67"/>
      <c r="F155" s="67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67"/>
      <c r="F156" s="67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67"/>
      <c r="F157" s="67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67"/>
      <c r="F158" s="67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67"/>
      <c r="F159" s="67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67"/>
      <c r="F160" s="67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67"/>
      <c r="F161" s="67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67"/>
      <c r="F162" s="67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67"/>
      <c r="F163" s="67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67"/>
      <c r="F164" s="67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67"/>
      <c r="F165" s="67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67"/>
      <c r="F166" s="67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67"/>
      <c r="F167" s="67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67"/>
      <c r="F168" s="67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67"/>
      <c r="F169" s="67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67"/>
      <c r="F170" s="67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67"/>
      <c r="F171" s="67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67"/>
      <c r="F172" s="67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67"/>
      <c r="F173" s="67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67"/>
      <c r="F174" s="67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67"/>
      <c r="F175" s="67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67"/>
      <c r="F176" s="67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67"/>
      <c r="F177" s="67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67"/>
      <c r="F178" s="67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67"/>
      <c r="F179" s="67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67"/>
      <c r="F180" s="67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67"/>
      <c r="F181" s="67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67"/>
      <c r="F182" s="67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67"/>
      <c r="F183" s="67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67"/>
      <c r="F184" s="67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67"/>
      <c r="F185" s="67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67"/>
      <c r="F186" s="67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67"/>
      <c r="F187" s="67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67"/>
      <c r="F188" s="67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67"/>
      <c r="F189" s="67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67"/>
      <c r="F190" s="67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67"/>
      <c r="F191" s="67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67"/>
      <c r="F192" s="67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67"/>
      <c r="F193" s="67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67"/>
      <c r="F194" s="67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67"/>
      <c r="F195" s="67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67"/>
      <c r="F196" s="67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67"/>
      <c r="F197" s="67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67"/>
      <c r="F198" s="67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67"/>
      <c r="F199" s="67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67"/>
      <c r="F200" s="67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67"/>
      <c r="F201" s="67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67"/>
      <c r="F202" s="67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67"/>
      <c r="F203" s="67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67"/>
      <c r="F204" s="67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67"/>
      <c r="F205" s="67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67"/>
      <c r="F206" s="67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67"/>
      <c r="F207" s="67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67"/>
      <c r="F208" s="67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67"/>
      <c r="F209" s="67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67"/>
      <c r="F210" s="67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67"/>
      <c r="F211" s="67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67"/>
      <c r="F212" s="67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67"/>
      <c r="F213" s="67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67"/>
      <c r="F214" s="67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67"/>
      <c r="F215" s="67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67"/>
      <c r="F216" s="67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67"/>
      <c r="F217" s="67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67"/>
      <c r="F218" s="67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67"/>
      <c r="F219" s="67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67"/>
      <c r="F220" s="67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67"/>
      <c r="F221" s="67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67"/>
      <c r="F222" s="67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67"/>
      <c r="F223" s="67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67"/>
      <c r="F224" s="67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67"/>
      <c r="F225" s="67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67"/>
      <c r="F226" s="67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67"/>
      <c r="F227" s="67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67"/>
      <c r="F228" s="67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67"/>
      <c r="F229" s="67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67"/>
      <c r="F230" s="67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67"/>
      <c r="F231" s="67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67"/>
      <c r="F232" s="67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67"/>
      <c r="F233" s="67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67"/>
      <c r="F234" s="67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67"/>
      <c r="F235" s="67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67"/>
      <c r="F236" s="67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67"/>
      <c r="F237" s="67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67"/>
      <c r="F238" s="67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67"/>
      <c r="F239" s="67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67"/>
      <c r="F240" s="67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67"/>
      <c r="F241" s="67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67"/>
      <c r="F242" s="67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67"/>
      <c r="F243" s="67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67"/>
      <c r="F244" s="67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67"/>
      <c r="F245" s="67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67"/>
      <c r="F246" s="67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67"/>
      <c r="F247" s="67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67"/>
      <c r="F248" s="67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67"/>
      <c r="F249" s="67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67"/>
      <c r="F250" s="67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67"/>
      <c r="F251" s="67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67"/>
      <c r="F252" s="67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67"/>
      <c r="F253" s="67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67"/>
      <c r="F254" s="67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67"/>
      <c r="F255" s="67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67"/>
      <c r="F256" s="67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67"/>
      <c r="F257" s="67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67"/>
      <c r="F258" s="67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67"/>
      <c r="F259" s="67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67"/>
      <c r="F260" s="67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67"/>
      <c r="F261" s="67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67"/>
      <c r="F262" s="67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67"/>
      <c r="F263" s="67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67"/>
      <c r="F264" s="67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67"/>
      <c r="F265" s="67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67"/>
      <c r="F266" s="67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67"/>
      <c r="F267" s="67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67"/>
      <c r="F268" s="67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67"/>
      <c r="F269" s="67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67"/>
      <c r="F270" s="67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67"/>
      <c r="F271" s="67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67"/>
      <c r="F272" s="67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67"/>
      <c r="F273" s="67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67"/>
      <c r="F274" s="67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67"/>
      <c r="F275" s="67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67"/>
      <c r="F276" s="67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67"/>
      <c r="F277" s="67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67"/>
      <c r="F278" s="67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67"/>
      <c r="F279" s="67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67"/>
      <c r="F280" s="67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67"/>
      <c r="F281" s="67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67"/>
      <c r="F282" s="67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67"/>
      <c r="F283" s="67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67"/>
      <c r="F284" s="67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67"/>
      <c r="F285" s="67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67"/>
      <c r="F286" s="67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67"/>
      <c r="F287" s="67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67"/>
      <c r="F288" s="67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67"/>
      <c r="F289" s="67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67"/>
      <c r="F290" s="67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67"/>
      <c r="F291" s="67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67"/>
      <c r="F292" s="67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67"/>
      <c r="F293" s="67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67"/>
      <c r="F294" s="67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67"/>
      <c r="F295" s="67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67"/>
      <c r="F296" s="67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67"/>
      <c r="F297" s="67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67"/>
      <c r="F298" s="67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67"/>
      <c r="F299" s="67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67"/>
      <c r="F300" s="67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67"/>
      <c r="F301" s="67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67"/>
      <c r="F302" s="67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67"/>
      <c r="F303" s="67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67"/>
      <c r="F304" s="67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67"/>
      <c r="F305" s="67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67"/>
      <c r="F306" s="67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67"/>
      <c r="F307" s="67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67"/>
      <c r="F308" s="67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67"/>
      <c r="F309" s="67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67"/>
      <c r="F310" s="67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67"/>
      <c r="F311" s="67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67"/>
      <c r="F312" s="67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67"/>
      <c r="F313" s="67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67"/>
      <c r="F314" s="67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67"/>
      <c r="F315" s="67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67"/>
      <c r="F316" s="67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67"/>
      <c r="F317" s="67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67"/>
      <c r="F318" s="67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67"/>
      <c r="F319" s="67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67"/>
      <c r="F320" s="67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67"/>
      <c r="F321" s="67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67"/>
      <c r="F322" s="67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67"/>
      <c r="F323" s="67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67"/>
      <c r="F324" s="67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67"/>
      <c r="F325" s="67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67"/>
      <c r="F326" s="67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67"/>
      <c r="F327" s="67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67"/>
      <c r="F328" s="67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67"/>
      <c r="F329" s="67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67"/>
      <c r="F330" s="67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67"/>
      <c r="F331" s="67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67"/>
      <c r="F332" s="67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67"/>
      <c r="F333" s="67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67"/>
      <c r="F334" s="67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67"/>
      <c r="F335" s="67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67"/>
      <c r="F336" s="67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67"/>
      <c r="F337" s="67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67"/>
      <c r="F338" s="67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67"/>
      <c r="F339" s="67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67"/>
      <c r="F340" s="67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67"/>
      <c r="F341" s="67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67"/>
      <c r="F342" s="67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67"/>
      <c r="F343" s="67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67"/>
      <c r="F344" s="67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67"/>
      <c r="F345" s="67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67"/>
      <c r="F346" s="67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67"/>
      <c r="F347" s="67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67"/>
      <c r="F348" s="67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67"/>
      <c r="F349" s="67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67"/>
      <c r="F350" s="67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67"/>
      <c r="F351" s="67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67"/>
      <c r="F352" s="67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67"/>
      <c r="F353" s="67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67"/>
      <c r="F354" s="67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67"/>
      <c r="F355" s="67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67"/>
      <c r="F356" s="67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67"/>
      <c r="F357" s="67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67"/>
      <c r="F358" s="67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67"/>
      <c r="F359" s="67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67"/>
      <c r="F360" s="67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67"/>
      <c r="F361" s="67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67"/>
      <c r="F362" s="67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67"/>
      <c r="F363" s="67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67"/>
      <c r="F364" s="67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67"/>
      <c r="F365" s="67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67"/>
      <c r="F366" s="67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67"/>
      <c r="F367" s="67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67"/>
      <c r="F368" s="67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67"/>
      <c r="F369" s="67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67"/>
      <c r="F370" s="67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67"/>
      <c r="F371" s="67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67"/>
      <c r="F372" s="67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67"/>
      <c r="F373" s="67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67"/>
      <c r="F374" s="67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67"/>
      <c r="F375" s="67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67"/>
      <c r="F376" s="67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67"/>
      <c r="F377" s="67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67"/>
      <c r="F378" s="67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67"/>
      <c r="F379" s="67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67"/>
      <c r="F380" s="67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67"/>
      <c r="F381" s="67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67"/>
      <c r="F382" s="67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67"/>
      <c r="F383" s="67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67"/>
      <c r="F384" s="67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67"/>
      <c r="F385" s="67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67"/>
      <c r="F386" s="67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67"/>
      <c r="F387" s="67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67"/>
      <c r="F388" s="67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67"/>
      <c r="F389" s="67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67"/>
      <c r="F390" s="67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67"/>
      <c r="F391" s="67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67"/>
      <c r="F392" s="67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67"/>
      <c r="F393" s="67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67"/>
      <c r="F394" s="67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67"/>
      <c r="F395" s="67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67"/>
      <c r="F396" s="67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67"/>
      <c r="F397" s="67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67"/>
      <c r="F398" s="67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67"/>
      <c r="F399" s="67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67"/>
      <c r="F400" s="67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67"/>
      <c r="F401" s="67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67"/>
      <c r="F402" s="67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67"/>
      <c r="F403" s="67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67"/>
      <c r="F404" s="67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67"/>
      <c r="F405" s="67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67"/>
      <c r="F406" s="67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67"/>
      <c r="F407" s="67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67"/>
      <c r="F408" s="67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67"/>
      <c r="F409" s="67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67"/>
      <c r="F410" s="67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67"/>
      <c r="F411" s="67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67"/>
      <c r="F412" s="67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67"/>
      <c r="F413" s="67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67"/>
      <c r="F414" s="67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67"/>
      <c r="F415" s="67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67"/>
      <c r="F416" s="67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67"/>
      <c r="F417" s="67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67"/>
      <c r="F418" s="67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67"/>
      <c r="F419" s="67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67"/>
      <c r="F420" s="67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67"/>
      <c r="F421" s="67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67"/>
      <c r="F422" s="67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67"/>
      <c r="F423" s="67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67"/>
      <c r="F424" s="67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67"/>
      <c r="F425" s="67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67"/>
      <c r="F426" s="67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67"/>
      <c r="F427" s="67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67"/>
      <c r="F428" s="67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67"/>
      <c r="F429" s="67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67"/>
      <c r="F430" s="67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67"/>
      <c r="F431" s="67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67"/>
      <c r="F432" s="67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67"/>
      <c r="F433" s="67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67"/>
      <c r="F434" s="67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67"/>
      <c r="F435" s="67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67"/>
      <c r="F436" s="67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67"/>
      <c r="F437" s="67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67"/>
      <c r="F438" s="67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67"/>
      <c r="F439" s="67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67"/>
      <c r="F440" s="67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67"/>
      <c r="F441" s="67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67"/>
      <c r="F442" s="67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67"/>
      <c r="F443" s="67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67"/>
      <c r="F444" s="67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67"/>
      <c r="F445" s="67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67"/>
      <c r="F446" s="67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67"/>
      <c r="F447" s="67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67"/>
      <c r="F448" s="67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67"/>
      <c r="F449" s="67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67"/>
      <c r="F450" s="67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67"/>
      <c r="F451" s="67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67"/>
      <c r="F452" s="67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67"/>
      <c r="F453" s="67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67"/>
      <c r="F454" s="67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67"/>
      <c r="F455" s="67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67"/>
      <c r="F456" s="67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67"/>
      <c r="F457" s="67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67"/>
      <c r="F458" s="67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67"/>
      <c r="F459" s="67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67"/>
      <c r="F460" s="67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67"/>
      <c r="F461" s="67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67"/>
      <c r="F462" s="67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67"/>
      <c r="F463" s="67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67"/>
      <c r="F464" s="67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67"/>
      <c r="F465" s="67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67"/>
      <c r="F466" s="67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67"/>
      <c r="F467" s="67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67"/>
      <c r="F468" s="67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67"/>
      <c r="F469" s="67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67"/>
      <c r="F470" s="67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67"/>
      <c r="F471" s="67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67"/>
      <c r="F472" s="67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67"/>
      <c r="F473" s="67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67"/>
      <c r="F474" s="67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67"/>
      <c r="F475" s="67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67"/>
      <c r="F476" s="67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67"/>
      <c r="F477" s="67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67"/>
      <c r="F478" s="67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67"/>
      <c r="F479" s="67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67"/>
      <c r="F480" s="67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67"/>
      <c r="F481" s="67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67"/>
      <c r="F482" s="67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67"/>
      <c r="F483" s="67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67"/>
      <c r="F484" s="67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67"/>
      <c r="F485" s="67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67"/>
      <c r="F486" s="67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67"/>
      <c r="F487" s="67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67"/>
      <c r="F488" s="67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67"/>
      <c r="F489" s="67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67"/>
      <c r="F490" s="67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67"/>
      <c r="F491" s="67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67"/>
      <c r="F492" s="67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67"/>
      <c r="F493" s="67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67"/>
      <c r="F494" s="67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67"/>
      <c r="F495" s="67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67"/>
      <c r="F496" s="67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67"/>
      <c r="F497" s="67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67"/>
      <c r="F498" s="67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67"/>
      <c r="F499" s="67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67"/>
      <c r="F500" s="67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67"/>
      <c r="F501" s="67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67"/>
      <c r="F502" s="67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67"/>
      <c r="F503" s="67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67"/>
      <c r="F504" s="67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67"/>
      <c r="F505" s="67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67"/>
      <c r="F506" s="67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67"/>
      <c r="F507" s="67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67"/>
      <c r="F508" s="67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67"/>
      <c r="F509" s="67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67"/>
      <c r="F510" s="67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67"/>
      <c r="F511" s="67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67"/>
      <c r="F512" s="67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67"/>
      <c r="F513" s="67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67"/>
      <c r="F514" s="67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67"/>
      <c r="F515" s="67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67"/>
      <c r="F516" s="67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67"/>
      <c r="F517" s="67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67"/>
      <c r="F518" s="67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67"/>
      <c r="F519" s="67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67"/>
      <c r="F520" s="67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67"/>
      <c r="F521" s="67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67"/>
      <c r="F522" s="67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67"/>
      <c r="F523" s="67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67"/>
      <c r="F524" s="67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67"/>
      <c r="F525" s="67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67"/>
      <c r="F526" s="67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67"/>
      <c r="F527" s="67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67"/>
      <c r="F528" s="67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67"/>
      <c r="F529" s="67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67"/>
      <c r="F530" s="67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67"/>
      <c r="F531" s="67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67"/>
      <c r="F532" s="67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67"/>
      <c r="F533" s="67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67"/>
      <c r="F534" s="67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67"/>
      <c r="F535" s="67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67"/>
      <c r="F536" s="67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67"/>
      <c r="F537" s="67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67"/>
      <c r="F538" s="67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67"/>
      <c r="F539" s="67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67"/>
      <c r="F540" s="67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67"/>
      <c r="F541" s="67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67"/>
      <c r="F542" s="67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67"/>
      <c r="F543" s="67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67"/>
      <c r="F544" s="67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67"/>
      <c r="F545" s="67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67"/>
      <c r="F546" s="67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67"/>
      <c r="F547" s="67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67"/>
      <c r="F548" s="67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67"/>
      <c r="F549" s="67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67"/>
      <c r="F550" s="67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67"/>
      <c r="F551" s="67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67"/>
      <c r="F552" s="67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67"/>
      <c r="F553" s="67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67"/>
      <c r="F554" s="67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67"/>
      <c r="F555" s="67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67"/>
      <c r="F556" s="67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67"/>
      <c r="F557" s="67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67"/>
      <c r="F558" s="67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67"/>
      <c r="F559" s="67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67"/>
      <c r="F560" s="67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67"/>
      <c r="F561" s="67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67"/>
      <c r="F562" s="67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67"/>
      <c r="F563" s="67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67"/>
      <c r="F564" s="67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67"/>
      <c r="F565" s="67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67"/>
      <c r="F566" s="67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67"/>
      <c r="F567" s="67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67"/>
      <c r="F568" s="67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67"/>
      <c r="F569" s="67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67"/>
      <c r="F570" s="67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67"/>
      <c r="F571" s="67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67"/>
      <c r="F572" s="67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67"/>
      <c r="F573" s="67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67"/>
      <c r="F574" s="67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67"/>
      <c r="F575" s="67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67"/>
      <c r="F576" s="67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67"/>
      <c r="F577" s="67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67"/>
      <c r="F578" s="67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67"/>
      <c r="F579" s="67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67"/>
      <c r="F580" s="67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67"/>
      <c r="F581" s="67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67"/>
      <c r="F582" s="67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67"/>
      <c r="F583" s="67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67"/>
      <c r="F584" s="67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67"/>
      <c r="F585" s="67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67"/>
      <c r="F586" s="67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67"/>
      <c r="F587" s="67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67"/>
      <c r="F588" s="67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67"/>
      <c r="F589" s="67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67"/>
      <c r="F590" s="67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67"/>
      <c r="F591" s="67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67"/>
      <c r="F592" s="67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67"/>
      <c r="F593" s="67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67"/>
      <c r="F594" s="67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67"/>
      <c r="F595" s="67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67"/>
      <c r="F596" s="67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67"/>
      <c r="F597" s="67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67"/>
      <c r="F598" s="67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67"/>
      <c r="F599" s="67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67"/>
      <c r="F600" s="67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67"/>
      <c r="F601" s="67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67"/>
      <c r="F602" s="67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67"/>
      <c r="F603" s="67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67"/>
      <c r="F604" s="67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67"/>
      <c r="F605" s="67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67"/>
      <c r="F606" s="67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67"/>
      <c r="F607" s="67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67"/>
      <c r="F608" s="67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67"/>
      <c r="F609" s="67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67"/>
      <c r="F610" s="67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67"/>
      <c r="F611" s="67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67"/>
      <c r="F612" s="67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67"/>
      <c r="F613" s="67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67"/>
      <c r="F614" s="67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67"/>
      <c r="F615" s="67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67"/>
      <c r="F616" s="67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67"/>
      <c r="F617" s="67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67"/>
      <c r="F618" s="67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67"/>
      <c r="F619" s="67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67"/>
      <c r="F620" s="67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67"/>
      <c r="F621" s="67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67"/>
      <c r="F622" s="67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67"/>
      <c r="F623" s="67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67"/>
      <c r="F624" s="67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67"/>
      <c r="F625" s="67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67"/>
      <c r="F626" s="67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67"/>
      <c r="F627" s="67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67"/>
      <c r="F628" s="67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67"/>
      <c r="F629" s="67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67"/>
      <c r="F630" s="67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67"/>
      <c r="F631" s="67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67"/>
      <c r="F632" s="67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67"/>
      <c r="F633" s="67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67"/>
      <c r="F634" s="67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67"/>
      <c r="F635" s="67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67"/>
      <c r="F636" s="67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67"/>
      <c r="F637" s="67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67"/>
      <c r="F638" s="67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67"/>
      <c r="F639" s="67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67"/>
      <c r="F640" s="67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67"/>
      <c r="F641" s="67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67"/>
      <c r="F642" s="67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67"/>
      <c r="F643" s="67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67"/>
      <c r="F644" s="67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67"/>
      <c r="F645" s="67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67"/>
      <c r="F646" s="67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67"/>
      <c r="F647" s="67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67"/>
      <c r="F648" s="67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67"/>
      <c r="F649" s="67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67"/>
      <c r="F650" s="67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67"/>
      <c r="F651" s="67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67"/>
      <c r="F652" s="67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67"/>
      <c r="F653" s="67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67"/>
      <c r="F654" s="67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67"/>
      <c r="F655" s="67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67"/>
      <c r="F656" s="67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67"/>
      <c r="F657" s="67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67"/>
      <c r="F658" s="67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67"/>
      <c r="F659" s="67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67"/>
      <c r="F660" s="67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67"/>
      <c r="F661" s="67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67"/>
      <c r="F662" s="67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67"/>
      <c r="F663" s="67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67"/>
      <c r="F664" s="67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67"/>
      <c r="F665" s="67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67"/>
      <c r="F666" s="67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67"/>
      <c r="F667" s="67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67"/>
      <c r="F668" s="67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67"/>
      <c r="F669" s="67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67"/>
      <c r="F670" s="67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67"/>
      <c r="F671" s="67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67"/>
      <c r="F672" s="67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67"/>
      <c r="F673" s="67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67"/>
      <c r="F674" s="67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67"/>
      <c r="F675" s="67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67"/>
      <c r="F676" s="67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67"/>
      <c r="F677" s="67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67"/>
      <c r="F678" s="67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67"/>
      <c r="F679" s="67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67"/>
      <c r="F680" s="67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67"/>
      <c r="F681" s="67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67"/>
      <c r="F682" s="67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67"/>
      <c r="F683" s="67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67"/>
      <c r="F684" s="67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67"/>
      <c r="F685" s="67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67"/>
      <c r="F686" s="67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67"/>
      <c r="F687" s="67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67"/>
      <c r="F688" s="67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67"/>
      <c r="F689" s="67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67"/>
      <c r="F690" s="67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67"/>
      <c r="F691" s="67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67"/>
      <c r="F692" s="67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67"/>
      <c r="F693" s="67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67"/>
      <c r="F694" s="67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67"/>
      <c r="F695" s="67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67"/>
      <c r="F696" s="67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67"/>
      <c r="F697" s="67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67"/>
      <c r="F698" s="67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67"/>
      <c r="F699" s="67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67"/>
      <c r="F700" s="67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67"/>
      <c r="F701" s="67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67"/>
      <c r="F702" s="67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67"/>
      <c r="F703" s="67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67"/>
      <c r="F704" s="67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67"/>
      <c r="F705" s="67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67"/>
      <c r="F706" s="67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67"/>
      <c r="F707" s="67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67"/>
      <c r="F708" s="67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67"/>
      <c r="F709" s="67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67"/>
      <c r="F710" s="67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67"/>
      <c r="F711" s="67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67"/>
      <c r="F712" s="67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67"/>
      <c r="F713" s="67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67"/>
      <c r="F714" s="67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67"/>
      <c r="F715" s="67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67"/>
      <c r="F716" s="67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67"/>
      <c r="F717" s="67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67"/>
      <c r="F718" s="67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67"/>
      <c r="F719" s="67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67"/>
      <c r="F720" s="67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67"/>
      <c r="F721" s="67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67"/>
      <c r="F722" s="67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67"/>
      <c r="F723" s="67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67"/>
      <c r="F724" s="67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67"/>
      <c r="F725" s="67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67"/>
      <c r="F726" s="67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67"/>
      <c r="F727" s="67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67"/>
      <c r="F728" s="67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67"/>
      <c r="F729" s="67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67"/>
      <c r="F730" s="67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67"/>
      <c r="F731" s="67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67"/>
      <c r="F732" s="67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67"/>
      <c r="F733" s="67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67"/>
      <c r="F734" s="67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67"/>
      <c r="F735" s="67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67"/>
      <c r="F736" s="67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67"/>
      <c r="F737" s="67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67"/>
      <c r="F738" s="67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67"/>
      <c r="F739" s="67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67"/>
      <c r="F740" s="67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67"/>
      <c r="F741" s="67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67"/>
      <c r="F742" s="67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67"/>
      <c r="F743" s="67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67"/>
      <c r="F744" s="67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67"/>
      <c r="F745" s="67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67"/>
      <c r="F746" s="67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67"/>
      <c r="F747" s="67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67"/>
      <c r="F748" s="67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67"/>
      <c r="F749" s="67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67"/>
      <c r="F750" s="67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67"/>
      <c r="F751" s="67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67"/>
      <c r="F752" s="67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67"/>
      <c r="F753" s="67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67"/>
      <c r="F754" s="67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67"/>
      <c r="F755" s="67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67"/>
      <c r="F756" s="67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67"/>
      <c r="F757" s="67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67"/>
      <c r="F758" s="67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67"/>
      <c r="F759" s="67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67"/>
      <c r="F760" s="67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67"/>
      <c r="F761" s="67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67"/>
      <c r="F762" s="67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67"/>
      <c r="F763" s="67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67"/>
      <c r="F764" s="67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67"/>
      <c r="F765" s="67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67"/>
      <c r="F766" s="67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67"/>
      <c r="F767" s="67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67"/>
      <c r="F768" s="67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67"/>
      <c r="F769" s="67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67"/>
      <c r="F770" s="67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67"/>
      <c r="F771" s="67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67"/>
      <c r="F772" s="67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67"/>
      <c r="F773" s="67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67"/>
      <c r="F774" s="67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67"/>
      <c r="F775" s="67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67"/>
      <c r="F776" s="67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67"/>
      <c r="F777" s="67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67"/>
      <c r="F778" s="67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67"/>
      <c r="F779" s="67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67"/>
      <c r="F780" s="67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67"/>
      <c r="F781" s="67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67"/>
      <c r="F782" s="67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67"/>
      <c r="F783" s="67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67"/>
      <c r="F784" s="67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67"/>
      <c r="F785" s="67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67"/>
      <c r="F786" s="67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67"/>
      <c r="F787" s="67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67"/>
      <c r="F788" s="67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67"/>
      <c r="F789" s="67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67"/>
      <c r="F790" s="67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67"/>
      <c r="F791" s="67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67"/>
      <c r="F792" s="67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67"/>
      <c r="F793" s="67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67"/>
      <c r="F794" s="67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67"/>
      <c r="F795" s="67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67"/>
      <c r="F796" s="67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67"/>
      <c r="F797" s="67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67"/>
      <c r="F798" s="67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67"/>
      <c r="F799" s="67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67"/>
      <c r="F800" s="67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67"/>
      <c r="F801" s="67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67"/>
      <c r="F802" s="67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67"/>
      <c r="F803" s="67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67"/>
      <c r="F804" s="67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67"/>
      <c r="F805" s="67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67"/>
      <c r="F806" s="67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67"/>
      <c r="F807" s="67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67"/>
      <c r="F808" s="67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67"/>
      <c r="F809" s="67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67"/>
      <c r="F810" s="67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67"/>
      <c r="F811" s="67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67"/>
      <c r="F812" s="67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67"/>
      <c r="F813" s="67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67"/>
      <c r="F814" s="67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67"/>
      <c r="F815" s="67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67"/>
      <c r="F816" s="67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67"/>
      <c r="F817" s="67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67"/>
      <c r="F818" s="67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67"/>
      <c r="F819" s="67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67"/>
      <c r="F820" s="67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67"/>
      <c r="F821" s="67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67"/>
      <c r="F822" s="67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67"/>
      <c r="F823" s="67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67"/>
      <c r="F824" s="67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67"/>
      <c r="F825" s="67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67"/>
      <c r="F826" s="67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67"/>
      <c r="F827" s="67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67"/>
      <c r="F828" s="67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67"/>
      <c r="F829" s="67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67"/>
      <c r="F830" s="67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67"/>
      <c r="F831" s="67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67"/>
      <c r="F832" s="67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67"/>
      <c r="F833" s="67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67"/>
      <c r="F834" s="67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67"/>
      <c r="F835" s="67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67"/>
      <c r="F836" s="67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67"/>
      <c r="F837" s="67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67"/>
      <c r="F838" s="67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67"/>
      <c r="F839" s="67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67"/>
      <c r="F840" s="67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67"/>
      <c r="F841" s="67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67"/>
      <c r="F842" s="67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67"/>
      <c r="F843" s="67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67"/>
      <c r="F844" s="67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67"/>
      <c r="F845" s="67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67"/>
      <c r="F846" s="67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67"/>
      <c r="F847" s="67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67"/>
      <c r="F848" s="67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67"/>
      <c r="F849" s="67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67"/>
      <c r="F850" s="67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67"/>
      <c r="F851" s="67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67"/>
      <c r="F852" s="67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67"/>
      <c r="F853" s="67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67"/>
      <c r="F854" s="67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67"/>
      <c r="F855" s="67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67"/>
      <c r="F856" s="67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67"/>
      <c r="F857" s="67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67"/>
      <c r="F858" s="67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67"/>
      <c r="F859" s="67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67"/>
      <c r="F860" s="67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67"/>
      <c r="F861" s="67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67"/>
      <c r="F862" s="67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67"/>
      <c r="F863" s="67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67"/>
      <c r="F864" s="67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67"/>
      <c r="F865" s="67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67"/>
      <c r="F866" s="67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67"/>
      <c r="F867" s="67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67"/>
      <c r="F868" s="67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67"/>
      <c r="F869" s="67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67"/>
      <c r="F870" s="67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67"/>
      <c r="F871" s="67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67"/>
      <c r="F872" s="67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67"/>
      <c r="F873" s="67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67"/>
      <c r="F874" s="67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67"/>
      <c r="F875" s="67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67"/>
      <c r="F876" s="67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67"/>
      <c r="F877" s="67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67"/>
      <c r="F878" s="67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67"/>
      <c r="F879" s="67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67"/>
      <c r="F880" s="67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67"/>
      <c r="F881" s="67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67"/>
      <c r="F882" s="67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67"/>
      <c r="F883" s="67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67"/>
      <c r="F884" s="67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67"/>
      <c r="F885" s="67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67"/>
      <c r="F886" s="67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67"/>
      <c r="F887" s="67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67"/>
      <c r="F888" s="67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67"/>
      <c r="F889" s="67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67"/>
      <c r="F890" s="67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67"/>
      <c r="F891" s="67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67"/>
      <c r="F892" s="67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67"/>
      <c r="F893" s="67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67"/>
      <c r="F894" s="67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67"/>
      <c r="F895" s="67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67"/>
      <c r="F896" s="67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67"/>
      <c r="F897" s="67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67"/>
      <c r="F898" s="67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67"/>
      <c r="F899" s="67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67"/>
      <c r="F900" s="67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67"/>
      <c r="F901" s="67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67"/>
      <c r="F902" s="67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67"/>
      <c r="F903" s="67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67"/>
      <c r="F904" s="67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67"/>
      <c r="F905" s="67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67"/>
      <c r="F906" s="67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67"/>
      <c r="F907" s="67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67"/>
      <c r="F908" s="67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67"/>
      <c r="F909" s="67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67"/>
      <c r="F910" s="67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67"/>
      <c r="F911" s="67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67"/>
      <c r="F912" s="67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67"/>
      <c r="F913" s="67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67"/>
      <c r="F914" s="67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67"/>
      <c r="F915" s="67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67"/>
      <c r="F916" s="67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67"/>
      <c r="F917" s="67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67"/>
      <c r="F918" s="67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67"/>
      <c r="F919" s="67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67"/>
      <c r="F920" s="67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67"/>
      <c r="F921" s="67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67"/>
      <c r="F922" s="67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67"/>
      <c r="F923" s="67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67"/>
      <c r="F924" s="67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67"/>
      <c r="F925" s="67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67"/>
      <c r="F926" s="67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67"/>
      <c r="F927" s="67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67"/>
      <c r="F928" s="67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67"/>
      <c r="F929" s="67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67"/>
      <c r="F930" s="67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67"/>
      <c r="F931" s="67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67"/>
      <c r="F932" s="67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67"/>
      <c r="F933" s="67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67"/>
      <c r="F934" s="67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67"/>
      <c r="F935" s="67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67"/>
      <c r="F936" s="67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67"/>
      <c r="F937" s="67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67"/>
      <c r="F938" s="67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67"/>
      <c r="F939" s="67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67"/>
      <c r="F940" s="67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67"/>
      <c r="F941" s="67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67"/>
      <c r="F942" s="67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67"/>
      <c r="F943" s="67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67"/>
      <c r="F944" s="67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67"/>
      <c r="F945" s="67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67"/>
      <c r="F946" s="67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67"/>
      <c r="F947" s="67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67"/>
      <c r="F948" s="67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67"/>
      <c r="F949" s="67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67"/>
      <c r="F950" s="67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67"/>
      <c r="F951" s="67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67"/>
      <c r="F952" s="67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67"/>
      <c r="F953" s="67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67"/>
      <c r="F954" s="67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67"/>
      <c r="F955" s="67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67"/>
      <c r="F956" s="67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67"/>
      <c r="F957" s="67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67"/>
      <c r="F958" s="67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67"/>
      <c r="F959" s="67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67"/>
      <c r="F960" s="67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67"/>
      <c r="F961" s="67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67"/>
      <c r="F962" s="67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67"/>
      <c r="F963" s="67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67"/>
      <c r="F964" s="67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67"/>
      <c r="F965" s="67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67"/>
      <c r="F966" s="67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67"/>
      <c r="F967" s="67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67"/>
      <c r="F968" s="67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67"/>
      <c r="F969" s="67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67"/>
      <c r="F970" s="67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67"/>
      <c r="F971" s="67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67"/>
      <c r="F972" s="67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67"/>
      <c r="F973" s="67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67"/>
      <c r="F974" s="67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67"/>
      <c r="F975" s="67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67"/>
      <c r="F976" s="67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67"/>
      <c r="F977" s="67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67"/>
      <c r="F978" s="67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67"/>
      <c r="F979" s="67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67"/>
      <c r="F980" s="67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67"/>
      <c r="F981" s="67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67"/>
      <c r="F982" s="67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67"/>
      <c r="F983" s="67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67"/>
      <c r="F984" s="67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67"/>
      <c r="F985" s="67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67"/>
      <c r="F986" s="67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67"/>
      <c r="F987" s="67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67"/>
      <c r="F988" s="67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67"/>
      <c r="F989" s="67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67"/>
      <c r="F990" s="67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67"/>
      <c r="F991" s="67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67"/>
      <c r="F992" s="67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67"/>
      <c r="F993" s="67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67"/>
      <c r="F994" s="67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67"/>
      <c r="F995" s="67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67"/>
      <c r="F996" s="67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67"/>
      <c r="F997" s="67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67"/>
      <c r="F998" s="67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</sheetData>
  <conditionalFormatting sqref="A1:A998">
    <cfRule type="cellIs" dxfId="3" priority="1" operator="equal">
      <formula>$N$3</formula>
    </cfRule>
  </conditionalFormatting>
  <conditionalFormatting sqref="A1:A998">
    <cfRule type="cellIs" dxfId="4" priority="2" operator="equal">
      <formula>$N$4</formula>
    </cfRule>
  </conditionalFormatting>
  <conditionalFormatting sqref="A1:A998">
    <cfRule type="cellIs" dxfId="5" priority="3" operator="equal">
      <formula>$N$5</formula>
    </cfRule>
  </conditionalFormatting>
  <conditionalFormatting sqref="A1:A998">
    <cfRule type="cellIs" dxfId="6" priority="4" operator="equal">
      <formula>#REF!</formula>
    </cfRule>
  </conditionalFormatting>
  <printOptions gridLines="1" horizontalCentered="1"/>
  <pageMargins bottom="0.75" footer="0.0" header="0.0" left="0.7" right="0.7" top="0.75"/>
  <pageSetup cellComments="atEnd" orientation="landscape" pageOrder="overThenDown"/>
  <drawing r:id="rId1"/>
</worksheet>
</file>