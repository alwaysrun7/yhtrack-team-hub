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oster" sheetId="2" r:id="rId5"/>
    <sheet state="visible" name="Signup" sheetId="3" r:id="rId6"/>
    <sheet state="visible" name="By Event" sheetId="4" r:id="rId7"/>
  </sheets>
  <definedNames/>
  <calcPr/>
  <extLst>
    <ext uri="GoogleSheetsCustomDataVersion2">
      <go:sheetsCustomData xmlns:go="http://customooxmlschemas.google.com/" r:id="rId8" roundtripDataChecksum="Ra08weBqRbLf7+0CPOp8nticYwIsH0fuGjLfhBZKQ+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ID#AAAB6YEx8f8
YA Track    (2026-05-12 13:34:09)
1600m Run</t>
      </text>
    </comment>
    <comment authorId="0" ref="M3">
      <text>
        <t xml:space="preserve">======
ID#AAAB6YEx8fo
YA Track    (2026-05-12 13:34:09)
Long Jump</t>
      </text>
    </comment>
    <comment authorId="0" ref="N3">
      <text>
        <t xml:space="preserve">======
ID#AAAB6YEx8f0
YA Track    (2026-05-12 13:34:09)
Shot Put (4 kg)</t>
      </text>
    </comment>
    <comment authorId="0" ref="K3">
      <text>
        <t xml:space="preserve">======
ID#AAAB6YEx8fs
YA Track    (2026-05-12 13:34:09)
Sprint Medley Relay (100-100-200-400)</t>
      </text>
    </comment>
    <comment authorId="0" ref="I3">
      <text>
        <t xml:space="preserve">======
ID#AAAB6YEx8f4
YA Track    (2026-05-12 13:34:09)
200m Dash</t>
      </text>
    </comment>
    <comment authorId="0" ref="O3">
      <text>
        <t xml:space="preserve">======
ID#AAAB6YEx8fw
YA Track    (2026-05-12 13:34:09)
Discus (HS girls)</t>
      </text>
    </comment>
    <comment authorId="0" ref="L3">
      <text>
        <t xml:space="preserve">======
ID#AAAB6YEx8fc
YA Track    (2026-05-12 13:34:09)
High Jump</t>
      </text>
    </comment>
    <comment authorId="0" ref="H3">
      <text>
        <t xml:space="preserve">======
ID#AAAB6YEx8fU
YA Track    (2026-05-12 13:34:09)
4x100m Relay</t>
      </text>
    </comment>
    <comment authorId="0" ref="E3">
      <text>
        <t xml:space="preserve">======
ID#AAAB6YEx8fg
YA Track    (2026-05-12 13:34:09)
100m Dash</t>
      </text>
    </comment>
    <comment authorId="0" ref="D3">
      <text>
        <t xml:space="preserve">======
ID#AAAB6YEx8fY
YA Track    (2026-05-12 13:34:09)
100m Low Hurdles</t>
      </text>
    </comment>
    <comment authorId="0" ref="J3">
      <text>
        <t xml:space="preserve">======
ID#AAAB6YEx8fk
YA Track    (2026-05-12 13:34:09)
800m Run</t>
      </text>
    </comment>
    <comment authorId="0" ref="G3">
      <text>
        <t xml:space="preserve">======
ID#AAAB6YEx8fQ
YA Track    (2026-05-12 13:34:09)
400m Dash</t>
      </text>
    </comment>
  </commentList>
  <extLst>
    <ext uri="GoogleSheetsCustomDataVersion2">
      <go:sheetsCustomData xmlns:go="http://customooxmlschemas.google.com/" r:id="rId1" roundtripDataSignature="AMtx7mgQgqJ6WcxsLm5MAuuelxO85qt47Q=="/>
    </ext>
  </extLst>
</comments>
</file>

<file path=xl/sharedStrings.xml><?xml version="1.0" encoding="utf-8"?>
<sst xmlns="http://schemas.openxmlformats.org/spreadsheetml/2006/main" count="286" uniqueCount="104">
  <si>
    <t>Yinghua Track — Prior Lake Meet Event Signup</t>
  </si>
  <si>
    <t>Wednesday, May 13, 2026 · 4:15 PM at Prior Lake HS · Grades 6–8 (6th may run 7th-grade events)</t>
  </si>
  <si>
    <t>How to use</t>
  </si>
  <si>
    <t xml:space="preserve">  1. ROSTER tab — pre-filtered to athletes who said YES on the parent attendance form.</t>
  </si>
  <si>
    <t xml:space="preserve">  2. SIGNUP tab — type into the event columns:</t>
  </si>
  <si>
    <t xml:space="preserve">       • X = entered in this individual event</t>
  </si>
  <si>
    <t xml:space="preserve">       • A or B or C or D = relay team letter</t>
  </si>
  <si>
    <t xml:space="preserve">       Leave cells blank if the athlete isn't doing that event.</t>
  </si>
  <si>
    <t xml:space="preserve">  3. Right-side Summary auto-counts and flags any athlete over 4 events.</t>
  </si>
  <si>
    <t xml:space="preserve">  4. BY EVENT tab — auto-populated heat sheet, printable for the meet.</t>
  </si>
  <si>
    <t>Rules</t>
  </si>
  <si>
    <t xml:space="preserve">  • Max 4 events per athlete (combined running + field).</t>
  </si>
  <si>
    <t xml:space="preserve">  • Heats run by grade level. Sixth graders can compete in 7th-grade events.</t>
  </si>
  <si>
    <t xml:space="preserve">  • Teams must bring their own discus / shot put and relay batons.</t>
  </si>
  <si>
    <t xml:space="preserve">  • Running events: rolling start at 4:15 PM. Field events start ~4:00 PM (athletes plan jumps/throws around races).</t>
  </si>
  <si>
    <t xml:space="preserve">  • Meet is NOT scored. Hand-timed. Each athlete reports their time/mark to coaches.</t>
  </si>
  <si>
    <t xml:space="preserve">  • Teams attending: Lakeville North, Lakeville South, Northfield, Yinghua Academy.</t>
  </si>
  <si>
    <t>Roster — 22 athletes attending Prior Lake Meet</t>
  </si>
  <si>
    <t>Name</t>
  </si>
  <si>
    <t>Grade</t>
  </si>
  <si>
    <t>Gender</t>
  </si>
  <si>
    <t>Reuben Addington</t>
  </si>
  <si>
    <t>M</t>
  </si>
  <si>
    <t>Keva Bowron</t>
  </si>
  <si>
    <t>F</t>
  </si>
  <si>
    <t>Kai Dinger</t>
  </si>
  <si>
    <t>Alexandra Ebinger</t>
  </si>
  <si>
    <t>Elyse Folbrecht</t>
  </si>
  <si>
    <t>Remy Fortin</t>
  </si>
  <si>
    <t>Vienna Haas</t>
  </si>
  <si>
    <t>Ben Hinrichs</t>
  </si>
  <si>
    <t>Sage Houdek</t>
  </si>
  <si>
    <t>Ari Klapperich-Khuu</t>
  </si>
  <si>
    <t>Marcus Kunc</t>
  </si>
  <si>
    <t>Mattias Kunc</t>
  </si>
  <si>
    <t>Gabriel Nowariak</t>
  </si>
  <si>
    <t>Annika Peterson</t>
  </si>
  <si>
    <t>Amelia Roddy</t>
  </si>
  <si>
    <t>Audrey Roffe</t>
  </si>
  <si>
    <t>Louis Ryan</t>
  </si>
  <si>
    <t>Arya Sanaka</t>
  </si>
  <si>
    <t>Ben Surla</t>
  </si>
  <si>
    <t>Jin Trenh</t>
  </si>
  <si>
    <t>Caleb Wilson</t>
  </si>
  <si>
    <t>Isaac Wilson</t>
  </si>
  <si>
    <t>Cole Beaudry</t>
  </si>
  <si>
    <t>Prior Lake Meet — Athlete Event Signup</t>
  </si>
  <si>
    <t>RUNNING EVENTS (X, or A/B/C/D for relays)</t>
  </si>
  <si>
    <t>FIELD EVENTS (X, or A/B/C/D for relays)</t>
  </si>
  <si>
    <t>SUMMARY</t>
  </si>
  <si>
    <t>100mH</t>
  </si>
  <si>
    <t>100m</t>
  </si>
  <si>
    <t>1600m</t>
  </si>
  <si>
    <t>400m</t>
  </si>
  <si>
    <t>4x100</t>
  </si>
  <si>
    <t>200m</t>
  </si>
  <si>
    <t>800m</t>
  </si>
  <si>
    <t>SMR</t>
  </si>
  <si>
    <t>HJ</t>
  </si>
  <si>
    <t>LJ</t>
  </si>
  <si>
    <t>SP</t>
  </si>
  <si>
    <t>DISC</t>
  </si>
  <si>
    <t>Run #</t>
  </si>
  <si>
    <t>Field #</t>
  </si>
  <si>
    <t>Total</t>
  </si>
  <si>
    <t>Valid?</t>
  </si>
  <si>
    <t>X</t>
  </si>
  <si>
    <t>A</t>
  </si>
  <si>
    <t>B</t>
  </si>
  <si>
    <t>C</t>
  </si>
  <si>
    <t>Perrin Light-Haberstroh</t>
  </si>
  <si>
    <t>Nathan Coblentz</t>
  </si>
  <si>
    <t>Alex Ebinger</t>
  </si>
  <si>
    <t>Cooper Coblentz</t>
  </si>
  <si>
    <t>Thea Bortel</t>
  </si>
  <si>
    <t>Devin Linquist</t>
  </si>
  <si>
    <t>Addis demere</t>
  </si>
  <si>
    <t>aedan herman</t>
  </si>
  <si>
    <t xml:space="preserve">Hudson Coblentz </t>
  </si>
  <si>
    <t>By Event — Prior Lake Meet (auto-populated heat sheet)</t>
  </si>
  <si>
    <t>RUNNING EVENTS</t>
  </si>
  <si>
    <t>100m Low Hurdles</t>
  </si>
  <si>
    <t>6/7 Girls</t>
  </si>
  <si>
    <t>8 Girls</t>
  </si>
  <si>
    <t>6/7 Boys</t>
  </si>
  <si>
    <t>8 Boys</t>
  </si>
  <si>
    <t>5th Grade Girls</t>
  </si>
  <si>
    <t>5th Grade Boys</t>
  </si>
  <si>
    <t>100m Dash</t>
  </si>
  <si>
    <t>1600m Run</t>
  </si>
  <si>
    <t>400m Dash</t>
  </si>
  <si>
    <t>4x100m Relay</t>
  </si>
  <si>
    <t>Team A</t>
  </si>
  <si>
    <t>Team B</t>
  </si>
  <si>
    <t>Team C</t>
  </si>
  <si>
    <t>Team D</t>
  </si>
  <si>
    <t>200m Dash</t>
  </si>
  <si>
    <t>800m Run</t>
  </si>
  <si>
    <t>Sprint Medley Relay (100-100-200-400)</t>
  </si>
  <si>
    <t>FIELD EVENTS</t>
  </si>
  <si>
    <t>High Jump</t>
  </si>
  <si>
    <t>Long Jump</t>
  </si>
  <si>
    <t>Shot Put (4 kg)</t>
  </si>
  <si>
    <t>Discus (HS girls)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</si>
</sst>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>
      <i/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0.0"/>
      <color theme="1"/>
      <name val="Calibri"/>
      <scheme val="minor"/>
    </font>
    <font>
      <b/>
      <sz val="11.0"/>
      <color theme="1"/>
      <name val="Calibri"/>
      <scheme val="minor"/>
    </font>
    <font/>
    <font>
      <b/>
      <sz val="10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90E1D"/>
        <bgColor rgb="FF790E1D"/>
      </patternFill>
    </fill>
    <fill>
      <patternFill patternType="solid">
        <fgColor rgb="FFFFD700"/>
        <bgColor rgb="FFFFD700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2B6CB0"/>
        <bgColor rgb="FF2B6CB0"/>
      </patternFill>
    </fill>
    <fill>
      <patternFill patternType="solid">
        <fgColor rgb="FFD69E2E"/>
        <bgColor rgb="FFD69E2E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vertical="center"/>
    </xf>
    <xf borderId="3" fillId="0" fontId="7" numFmtId="0" xfId="0" applyBorder="1" applyFont="1"/>
    <xf borderId="4" fillId="0" fontId="7" numFmtId="0" xfId="0" applyBorder="1" applyFont="1"/>
    <xf borderId="5" fillId="3" fontId="8" numFmtId="0" xfId="0" applyAlignment="1" applyBorder="1" applyFill="1" applyFont="1">
      <alignment horizontal="center" vertical="center"/>
    </xf>
    <xf borderId="5" fillId="0" fontId="2" numFmtId="0" xfId="0" applyBorder="1" applyFont="1"/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readingOrder="0"/>
    </xf>
    <xf borderId="2" fillId="2" fontId="9" numFmtId="0" xfId="0" applyAlignment="1" applyBorder="1" applyFont="1">
      <alignment horizontal="center" vertical="center"/>
    </xf>
    <xf borderId="5" fillId="4" fontId="8" numFmtId="0" xfId="0" applyAlignment="1" applyBorder="1" applyFill="1" applyFont="1">
      <alignment horizontal="center" vertical="center"/>
    </xf>
    <xf borderId="5" fillId="5" fontId="8" numFmtId="0" xfId="0" applyAlignment="1" applyBorder="1" applyFill="1" applyFont="1">
      <alignment horizontal="center" vertical="center"/>
    </xf>
    <xf borderId="5" fillId="6" fontId="8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6" fontId="2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left" vertical="center"/>
    </xf>
    <xf borderId="2" fillId="7" fontId="9" numFmtId="0" xfId="0" applyAlignment="1" applyBorder="1" applyFill="1" applyFont="1">
      <alignment horizontal="left" vertical="center"/>
    </xf>
    <xf borderId="5" fillId="0" fontId="10" numFmtId="0" xfId="0" applyAlignment="1" applyBorder="1" applyFont="1">
      <alignment horizontal="left"/>
    </xf>
    <xf borderId="5" fillId="0" fontId="2" numFmtId="0" xfId="0" applyAlignment="1" applyBorder="1" applyFont="1">
      <alignment horizontal="left" shrinkToFit="0" vertical="center" wrapText="1"/>
    </xf>
    <xf borderId="2" fillId="8" fontId="9" numFmtId="0" xfId="0" applyAlignment="1" applyBorder="1" applyFill="1" applyFont="1">
      <alignment horizontal="left" vertical="center"/>
    </xf>
  </cellXfs>
  <cellStyles count="1">
    <cellStyle xfId="0" name="Normal" builtinId="0"/>
  </cellStyles>
  <dxfs count="3">
    <dxf>
      <font>
        <b/>
        <color rgb="FFC62828"/>
      </font>
      <fill>
        <patternFill patternType="solid">
          <fgColor rgb="FFFFCDD2"/>
          <bgColor rgb="FFFFCDD2"/>
        </patternFill>
      </fill>
      <border/>
    </dxf>
    <dxf>
      <font>
        <b/>
        <color rgb="FF8A6D00"/>
      </font>
      <fill>
        <patternFill patternType="solid">
          <fgColor rgb="FFFFF3CD"/>
          <bgColor rgb="FFFFF3CD"/>
        </patternFill>
      </fill>
      <border/>
    </dxf>
    <dxf>
      <font>
        <b/>
        <color rgb="FF2E7D32"/>
      </font>
      <fill>
        <patternFill patternType="solid">
          <fgColor rgb="FFC8E6C9"/>
          <bgColor rgb="FFC8E6C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7.75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5" t="s">
        <v>3</v>
      </c>
    </row>
    <row r="7">
      <c r="A7" s="5" t="s">
        <v>4</v>
      </c>
    </row>
    <row r="8">
      <c r="A8" s="5" t="s">
        <v>5</v>
      </c>
    </row>
    <row r="9">
      <c r="A9" s="5" t="s">
        <v>6</v>
      </c>
    </row>
    <row r="10">
      <c r="A10" s="5" t="s">
        <v>7</v>
      </c>
    </row>
    <row r="11">
      <c r="A11" s="5" t="s">
        <v>8</v>
      </c>
    </row>
    <row r="12">
      <c r="A12" s="5" t="s">
        <v>9</v>
      </c>
    </row>
    <row r="13">
      <c r="A13" s="2"/>
    </row>
    <row r="14">
      <c r="A14" s="6" t="s">
        <v>10</v>
      </c>
    </row>
    <row r="15">
      <c r="A15" s="5" t="s">
        <v>11</v>
      </c>
    </row>
    <row r="16">
      <c r="A16" s="2"/>
    </row>
    <row r="17">
      <c r="A17" s="5" t="s">
        <v>12</v>
      </c>
    </row>
    <row r="18">
      <c r="A18" s="5" t="s">
        <v>13</v>
      </c>
    </row>
    <row r="19">
      <c r="A19" s="5" t="s">
        <v>14</v>
      </c>
    </row>
    <row r="20">
      <c r="A20" s="5" t="s">
        <v>15</v>
      </c>
    </row>
    <row r="21" ht="15.75" customHeight="1">
      <c r="A21" s="5" t="s">
        <v>16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8.0"/>
    <col customWidth="1" min="4" max="26" width="8.71"/>
  </cols>
  <sheetData>
    <row r="1" ht="21.75" customHeight="1">
      <c r="A1" s="7" t="s">
        <v>17</v>
      </c>
      <c r="B1" s="8"/>
      <c r="C1" s="9"/>
    </row>
    <row r="2">
      <c r="A2" s="10" t="s">
        <v>18</v>
      </c>
      <c r="B2" s="10" t="s">
        <v>19</v>
      </c>
      <c r="C2" s="10" t="s">
        <v>20</v>
      </c>
    </row>
    <row r="3">
      <c r="A3" s="11" t="s">
        <v>21</v>
      </c>
      <c r="B3" s="12">
        <v>6.0</v>
      </c>
      <c r="C3" s="12" t="s">
        <v>22</v>
      </c>
    </row>
    <row r="4">
      <c r="A4" s="11" t="s">
        <v>23</v>
      </c>
      <c r="B4" s="12">
        <v>7.0</v>
      </c>
      <c r="C4" s="12" t="s">
        <v>24</v>
      </c>
    </row>
    <row r="5">
      <c r="A5" s="11" t="s">
        <v>25</v>
      </c>
      <c r="B5" s="12">
        <v>7.0</v>
      </c>
      <c r="C5" s="12" t="s">
        <v>22</v>
      </c>
    </row>
    <row r="6">
      <c r="A6" s="11" t="s">
        <v>26</v>
      </c>
      <c r="B6" s="12">
        <v>6.0</v>
      </c>
      <c r="C6" s="12" t="s">
        <v>24</v>
      </c>
    </row>
    <row r="7">
      <c r="A7" s="11" t="s">
        <v>27</v>
      </c>
      <c r="B7" s="12">
        <v>6.0</v>
      </c>
      <c r="C7" s="12" t="s">
        <v>24</v>
      </c>
    </row>
    <row r="8">
      <c r="A8" s="11" t="s">
        <v>28</v>
      </c>
      <c r="B8" s="12">
        <v>7.0</v>
      </c>
      <c r="C8" s="12" t="s">
        <v>22</v>
      </c>
    </row>
    <row r="9">
      <c r="A9" s="11" t="s">
        <v>29</v>
      </c>
      <c r="B9" s="12">
        <v>7.0</v>
      </c>
      <c r="C9" s="12" t="s">
        <v>24</v>
      </c>
    </row>
    <row r="10">
      <c r="A10" s="11" t="s">
        <v>30</v>
      </c>
      <c r="B10" s="12">
        <v>8.0</v>
      </c>
      <c r="C10" s="12" t="s">
        <v>22</v>
      </c>
    </row>
    <row r="11">
      <c r="A11" s="11" t="s">
        <v>31</v>
      </c>
      <c r="B11" s="12">
        <v>8.0</v>
      </c>
      <c r="C11" s="12" t="s">
        <v>24</v>
      </c>
    </row>
    <row r="12">
      <c r="A12" s="11" t="s">
        <v>32</v>
      </c>
      <c r="B12" s="12">
        <v>7.0</v>
      </c>
      <c r="C12" s="12" t="s">
        <v>22</v>
      </c>
    </row>
    <row r="13">
      <c r="A13" s="11" t="s">
        <v>33</v>
      </c>
      <c r="B13" s="12">
        <v>6.0</v>
      </c>
      <c r="C13" s="12" t="s">
        <v>22</v>
      </c>
    </row>
    <row r="14">
      <c r="A14" s="11" t="s">
        <v>34</v>
      </c>
      <c r="B14" s="12">
        <v>8.0</v>
      </c>
      <c r="C14" s="12" t="s">
        <v>22</v>
      </c>
    </row>
    <row r="15">
      <c r="A15" s="11" t="s">
        <v>35</v>
      </c>
      <c r="B15" s="12">
        <v>6.0</v>
      </c>
      <c r="C15" s="12" t="s">
        <v>22</v>
      </c>
    </row>
    <row r="16">
      <c r="A16" s="11" t="s">
        <v>36</v>
      </c>
      <c r="B16" s="12">
        <v>7.0</v>
      </c>
      <c r="C16" s="12" t="s">
        <v>24</v>
      </c>
    </row>
    <row r="17">
      <c r="A17" s="11" t="s">
        <v>37</v>
      </c>
      <c r="B17" s="12">
        <v>6.0</v>
      </c>
      <c r="C17" s="12" t="s">
        <v>24</v>
      </c>
    </row>
    <row r="18">
      <c r="A18" s="11" t="s">
        <v>38</v>
      </c>
      <c r="B18" s="12">
        <v>7.0</v>
      </c>
      <c r="C18" s="12" t="s">
        <v>24</v>
      </c>
    </row>
    <row r="19">
      <c r="A19" s="11" t="s">
        <v>39</v>
      </c>
      <c r="B19" s="12">
        <v>7.0</v>
      </c>
      <c r="C19" s="12" t="s">
        <v>22</v>
      </c>
    </row>
    <row r="20">
      <c r="A20" s="11" t="s">
        <v>40</v>
      </c>
      <c r="B20" s="12">
        <v>7.0</v>
      </c>
      <c r="C20" s="12" t="s">
        <v>22</v>
      </c>
    </row>
    <row r="21" ht="15.75" customHeight="1">
      <c r="A21" s="11" t="s">
        <v>41</v>
      </c>
      <c r="B21" s="12">
        <v>7.0</v>
      </c>
      <c r="C21" s="12" t="s">
        <v>22</v>
      </c>
    </row>
    <row r="22" ht="15.75" customHeight="1">
      <c r="A22" s="11" t="s">
        <v>42</v>
      </c>
      <c r="B22" s="12">
        <v>8.0</v>
      </c>
      <c r="C22" s="12" t="s">
        <v>22</v>
      </c>
    </row>
    <row r="23" ht="15.75" customHeight="1">
      <c r="A23" s="11" t="s">
        <v>43</v>
      </c>
      <c r="B23" s="12">
        <v>7.0</v>
      </c>
      <c r="C23" s="12" t="s">
        <v>22</v>
      </c>
    </row>
    <row r="24" ht="15.75" customHeight="1">
      <c r="A24" s="11" t="s">
        <v>44</v>
      </c>
      <c r="B24" s="12">
        <v>7.0</v>
      </c>
      <c r="C24" s="12" t="s">
        <v>22</v>
      </c>
    </row>
    <row r="25" ht="15.75" customHeight="1">
      <c r="A25" s="13" t="s">
        <v>45</v>
      </c>
      <c r="B25" s="12">
        <v>7.0</v>
      </c>
      <c r="C25" s="12" t="s">
        <v>22</v>
      </c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/>
    <row r="29" ht="15.75" customHeight="1">
      <c r="A29" s="13" t="s">
        <v>45</v>
      </c>
      <c r="B29" s="12">
        <v>7.0</v>
      </c>
      <c r="C29" s="12" t="s">
        <v>22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6.0"/>
    <col customWidth="1" min="2" max="2" width="7.0"/>
    <col customWidth="1" min="3" max="16" width="8.0"/>
    <col customWidth="1" min="17" max="17" width="9.0"/>
    <col customWidth="1" min="18" max="18" width="8.0"/>
    <col customWidth="1" min="19" max="19" width="22.0"/>
    <col customWidth="1" min="20" max="26" width="8.71"/>
  </cols>
  <sheetData>
    <row r="1" ht="21.75" customHeight="1">
      <c r="A1" s="7" t="s">
        <v>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>
      <c r="D2" s="14" t="s">
        <v>47</v>
      </c>
      <c r="E2" s="8"/>
      <c r="F2" s="8"/>
      <c r="G2" s="8"/>
      <c r="H2" s="8"/>
      <c r="I2" s="8"/>
      <c r="J2" s="8"/>
      <c r="K2" s="9"/>
      <c r="L2" s="14" t="s">
        <v>48</v>
      </c>
      <c r="M2" s="8"/>
      <c r="N2" s="8"/>
      <c r="O2" s="9"/>
      <c r="P2" s="14" t="s">
        <v>49</v>
      </c>
      <c r="Q2" s="8"/>
      <c r="R2" s="8"/>
      <c r="S2" s="9"/>
    </row>
    <row r="3">
      <c r="A3" s="10" t="s">
        <v>18</v>
      </c>
      <c r="B3" s="10" t="s">
        <v>19</v>
      </c>
      <c r="C3" s="10" t="s">
        <v>20</v>
      </c>
      <c r="D3" s="15" t="s">
        <v>50</v>
      </c>
      <c r="E3" s="15" t="s">
        <v>51</v>
      </c>
      <c r="F3" s="15" t="s">
        <v>52</v>
      </c>
      <c r="G3" s="15" t="s">
        <v>53</v>
      </c>
      <c r="H3" s="15" t="s">
        <v>54</v>
      </c>
      <c r="I3" s="15" t="s">
        <v>55</v>
      </c>
      <c r="J3" s="15" t="s">
        <v>56</v>
      </c>
      <c r="K3" s="15" t="s">
        <v>57</v>
      </c>
      <c r="L3" s="16" t="s">
        <v>58</v>
      </c>
      <c r="M3" s="16" t="s">
        <v>59</v>
      </c>
      <c r="N3" s="16" t="s">
        <v>60</v>
      </c>
      <c r="O3" s="16" t="s">
        <v>61</v>
      </c>
      <c r="P3" s="17" t="s">
        <v>62</v>
      </c>
      <c r="Q3" s="17" t="s">
        <v>63</v>
      </c>
      <c r="R3" s="17" t="s">
        <v>64</v>
      </c>
      <c r="S3" s="17" t="s">
        <v>65</v>
      </c>
    </row>
    <row r="4">
      <c r="A4" s="11" t="str">
        <f>IF(Roster!A3="","",Roster!A3)</f>
        <v>Reuben Addington</v>
      </c>
      <c r="B4" s="12">
        <f>IF(Roster!B3="","",Roster!B3)</f>
        <v>6</v>
      </c>
      <c r="C4" s="12" t="str">
        <f>IF(Roster!C3="","",Roster!C3)</f>
        <v>M</v>
      </c>
      <c r="D4" s="12"/>
      <c r="E4" s="18" t="s">
        <v>66</v>
      </c>
      <c r="F4" s="12"/>
      <c r="G4" s="12"/>
      <c r="H4" s="12"/>
      <c r="I4" s="12"/>
      <c r="J4" s="18" t="s">
        <v>66</v>
      </c>
      <c r="K4" s="12"/>
      <c r="L4" s="12"/>
      <c r="M4" s="12"/>
      <c r="N4" s="18" t="s">
        <v>66</v>
      </c>
      <c r="O4" s="18" t="s">
        <v>66</v>
      </c>
      <c r="P4" s="19">
        <f t="shared" ref="P4:P39" si="1">IF(A4="","",COUNTA(D4:K4))</f>
        <v>2</v>
      </c>
      <c r="Q4" s="19">
        <f t="shared" ref="Q4:Q39" si="2">IF(A4="","",COUNTA(L4:O4))</f>
        <v>2</v>
      </c>
      <c r="R4" s="19">
        <f t="shared" ref="R4:R39" si="3">IF(A4="","",P4+Q4)</f>
        <v>4</v>
      </c>
      <c r="S4" s="19" t="str">
        <f t="shared" ref="S4:S39" si="4">IF(A4="","",IF(R4=0,"",IF(R4&gt;4,"❌ Over 4 events",IF(AND(R4=4,NOT(OR(AND(P4=3,Q4=1),AND(P4=1,Q4=3)))),"⚠ Must be 3+1 or 1+3","✓ OK"))))</f>
        <v>⚠ Must be 3+1 or 1+3</v>
      </c>
    </row>
    <row r="5">
      <c r="A5" s="11" t="str">
        <f>IF(Roster!A4="","",Roster!A4)</f>
        <v>Keva Bowron</v>
      </c>
      <c r="B5" s="12">
        <f>IF(Roster!B4="","",Roster!B4)</f>
        <v>7</v>
      </c>
      <c r="C5" s="12" t="str">
        <f>IF(Roster!C4="","",Roster!C4)</f>
        <v>F</v>
      </c>
      <c r="D5" s="18" t="s">
        <v>66</v>
      </c>
      <c r="E5" s="12"/>
      <c r="F5" s="12"/>
      <c r="G5" s="12"/>
      <c r="H5" s="18" t="s">
        <v>67</v>
      </c>
      <c r="I5" s="18" t="s">
        <v>66</v>
      </c>
      <c r="J5" s="12"/>
      <c r="K5" s="18" t="s">
        <v>67</v>
      </c>
      <c r="L5" s="12"/>
      <c r="M5" s="12"/>
      <c r="N5" s="12"/>
      <c r="O5" s="12"/>
      <c r="P5" s="19">
        <f t="shared" si="1"/>
        <v>4</v>
      </c>
      <c r="Q5" s="19">
        <f t="shared" si="2"/>
        <v>0</v>
      </c>
      <c r="R5" s="19">
        <f t="shared" si="3"/>
        <v>4</v>
      </c>
      <c r="S5" s="19" t="str">
        <f t="shared" si="4"/>
        <v>⚠ Must be 3+1 or 1+3</v>
      </c>
    </row>
    <row r="6">
      <c r="A6" s="11" t="str">
        <f>IF(Roster!A5="","",Roster!A5)</f>
        <v>Kai Dinger</v>
      </c>
      <c r="B6" s="12">
        <f>IF(Roster!B5="","",Roster!B5)</f>
        <v>7</v>
      </c>
      <c r="C6" s="12" t="str">
        <f>IF(Roster!C5="","",Roster!C5)</f>
        <v>M</v>
      </c>
      <c r="D6" s="18"/>
      <c r="E6" s="18" t="s">
        <v>66</v>
      </c>
      <c r="F6" s="12"/>
      <c r="G6" s="12"/>
      <c r="H6" s="18" t="s">
        <v>68</v>
      </c>
      <c r="I6" s="18" t="s">
        <v>66</v>
      </c>
      <c r="J6" s="12"/>
      <c r="K6" s="18" t="s">
        <v>68</v>
      </c>
      <c r="L6" s="12"/>
      <c r="M6" s="12"/>
      <c r="N6" s="12"/>
      <c r="O6" s="12"/>
      <c r="P6" s="19">
        <f t="shared" si="1"/>
        <v>4</v>
      </c>
      <c r="Q6" s="19">
        <f t="shared" si="2"/>
        <v>0</v>
      </c>
      <c r="R6" s="19">
        <f t="shared" si="3"/>
        <v>4</v>
      </c>
      <c r="S6" s="19" t="str">
        <f t="shared" si="4"/>
        <v>⚠ Must be 3+1 or 1+3</v>
      </c>
    </row>
    <row r="7">
      <c r="A7" s="11" t="str">
        <f>IF(Roster!A6="","",Roster!A6)</f>
        <v>Alexandra Ebinger</v>
      </c>
      <c r="B7" s="12">
        <f>IF(Roster!B6="","",Roster!B6)</f>
        <v>6</v>
      </c>
      <c r="C7" s="12" t="str">
        <f>IF(Roster!C6="","",Roster!C6)</f>
        <v>F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9">
        <f t="shared" si="1"/>
        <v>0</v>
      </c>
      <c r="Q7" s="19">
        <f t="shared" si="2"/>
        <v>0</v>
      </c>
      <c r="R7" s="19">
        <f t="shared" si="3"/>
        <v>0</v>
      </c>
      <c r="S7" s="19" t="str">
        <f t="shared" si="4"/>
        <v/>
      </c>
    </row>
    <row r="8">
      <c r="A8" s="11" t="str">
        <f>IF(Roster!A7="","",Roster!A7)</f>
        <v>Elyse Folbrecht</v>
      </c>
      <c r="B8" s="12">
        <f>IF(Roster!B7="","",Roster!B7)</f>
        <v>6</v>
      </c>
      <c r="C8" s="12" t="str">
        <f>IF(Roster!C7="","",Roster!C7)</f>
        <v>F</v>
      </c>
      <c r="D8" s="12"/>
      <c r="E8" s="12"/>
      <c r="F8" s="12"/>
      <c r="G8" s="12"/>
      <c r="H8" s="18" t="s">
        <v>69</v>
      </c>
      <c r="I8" s="12"/>
      <c r="J8" s="12"/>
      <c r="K8" s="12"/>
      <c r="L8" s="12"/>
      <c r="M8" s="12"/>
      <c r="N8" s="18" t="s">
        <v>66</v>
      </c>
      <c r="O8" s="18" t="s">
        <v>66</v>
      </c>
      <c r="P8" s="19">
        <f t="shared" si="1"/>
        <v>1</v>
      </c>
      <c r="Q8" s="19">
        <f t="shared" si="2"/>
        <v>2</v>
      </c>
      <c r="R8" s="19">
        <f t="shared" si="3"/>
        <v>3</v>
      </c>
      <c r="S8" s="19" t="str">
        <f t="shared" si="4"/>
        <v>✓ OK</v>
      </c>
    </row>
    <row r="9">
      <c r="A9" s="11" t="str">
        <f>IF(Roster!A8="","",Roster!A8)</f>
        <v>Remy Fortin</v>
      </c>
      <c r="B9" s="12">
        <f>IF(Roster!B8="","",Roster!B8)</f>
        <v>7</v>
      </c>
      <c r="C9" s="12" t="str">
        <f>IF(Roster!C8="","",Roster!C8)</f>
        <v>M</v>
      </c>
      <c r="D9" s="12"/>
      <c r="E9" s="18" t="s">
        <v>66</v>
      </c>
      <c r="F9" s="12"/>
      <c r="G9" s="12"/>
      <c r="H9" s="12"/>
      <c r="I9" s="18" t="s">
        <v>66</v>
      </c>
      <c r="J9" s="12"/>
      <c r="K9" s="12"/>
      <c r="L9" s="12"/>
      <c r="M9" s="18" t="s">
        <v>66</v>
      </c>
      <c r="N9" s="12"/>
      <c r="O9" s="12"/>
      <c r="P9" s="19">
        <f t="shared" si="1"/>
        <v>2</v>
      </c>
      <c r="Q9" s="19">
        <f t="shared" si="2"/>
        <v>1</v>
      </c>
      <c r="R9" s="19">
        <f t="shared" si="3"/>
        <v>3</v>
      </c>
      <c r="S9" s="19" t="str">
        <f t="shared" si="4"/>
        <v>✓ OK</v>
      </c>
    </row>
    <row r="10">
      <c r="A10" s="11" t="str">
        <f>IF(Roster!A9="","",Roster!A9)</f>
        <v>Vienna Haas</v>
      </c>
      <c r="B10" s="12">
        <f>IF(Roster!B9="","",Roster!B9)</f>
        <v>7</v>
      </c>
      <c r="C10" s="12" t="str">
        <f>IF(Roster!C9="","",Roster!C9)</f>
        <v>F</v>
      </c>
      <c r="D10" s="18" t="s">
        <v>66</v>
      </c>
      <c r="E10" s="12"/>
      <c r="F10" s="12"/>
      <c r="G10" s="12"/>
      <c r="H10" s="18" t="s">
        <v>67</v>
      </c>
      <c r="I10" s="12"/>
      <c r="J10" s="12"/>
      <c r="K10" s="18" t="s">
        <v>67</v>
      </c>
      <c r="L10" s="12"/>
      <c r="M10" s="12"/>
      <c r="N10" s="12"/>
      <c r="O10" s="18" t="s">
        <v>66</v>
      </c>
      <c r="P10" s="19">
        <f t="shared" si="1"/>
        <v>3</v>
      </c>
      <c r="Q10" s="19">
        <f t="shared" si="2"/>
        <v>1</v>
      </c>
      <c r="R10" s="19">
        <f t="shared" si="3"/>
        <v>4</v>
      </c>
      <c r="S10" s="19" t="str">
        <f t="shared" si="4"/>
        <v>✓ OK</v>
      </c>
    </row>
    <row r="11">
      <c r="A11" s="11" t="str">
        <f>IF(Roster!A10="","",Roster!A10)</f>
        <v>Ben Hinrichs</v>
      </c>
      <c r="B11" s="12">
        <f>IF(Roster!B10="","",Roster!B10)</f>
        <v>8</v>
      </c>
      <c r="C11" s="12" t="str">
        <f>IF(Roster!C10="","",Roster!C10)</f>
        <v>M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9">
        <f t="shared" si="1"/>
        <v>0</v>
      </c>
      <c r="Q11" s="19">
        <f t="shared" si="2"/>
        <v>0</v>
      </c>
      <c r="R11" s="19">
        <f t="shared" si="3"/>
        <v>0</v>
      </c>
      <c r="S11" s="19" t="str">
        <f t="shared" si="4"/>
        <v/>
      </c>
    </row>
    <row r="12">
      <c r="A12" s="11" t="str">
        <f>IF(Roster!A11="","",Roster!A11)</f>
        <v>Sage Houdek</v>
      </c>
      <c r="B12" s="12">
        <f>IF(Roster!B11="","",Roster!B11)</f>
        <v>8</v>
      </c>
      <c r="C12" s="12" t="str">
        <f>IF(Roster!C11="","",Roster!C11)</f>
        <v>F</v>
      </c>
      <c r="D12" s="12"/>
      <c r="E12" s="12"/>
      <c r="F12" s="12"/>
      <c r="G12" s="18" t="s">
        <v>66</v>
      </c>
      <c r="H12" s="12"/>
      <c r="I12" s="18" t="s">
        <v>66</v>
      </c>
      <c r="J12" s="12"/>
      <c r="K12" s="12"/>
      <c r="L12" s="12"/>
      <c r="M12" s="12"/>
      <c r="N12" s="12"/>
      <c r="O12" s="12"/>
      <c r="P12" s="19">
        <f t="shared" si="1"/>
        <v>2</v>
      </c>
      <c r="Q12" s="19">
        <f t="shared" si="2"/>
        <v>0</v>
      </c>
      <c r="R12" s="19">
        <f t="shared" si="3"/>
        <v>2</v>
      </c>
      <c r="S12" s="19" t="str">
        <f t="shared" si="4"/>
        <v>✓ OK</v>
      </c>
    </row>
    <row r="13">
      <c r="A13" s="11" t="str">
        <f>IF(Roster!A12="","",Roster!A12)</f>
        <v>Ari Klapperich-Khuu</v>
      </c>
      <c r="B13" s="12">
        <f>IF(Roster!B12="","",Roster!B12)</f>
        <v>7</v>
      </c>
      <c r="C13" s="12" t="str">
        <f>IF(Roster!C12="","",Roster!C12)</f>
        <v>M</v>
      </c>
      <c r="D13" s="18" t="s">
        <v>66</v>
      </c>
      <c r="E13" s="18" t="s">
        <v>66</v>
      </c>
      <c r="F13" s="12"/>
      <c r="G13" s="12"/>
      <c r="H13" s="18" t="s">
        <v>68</v>
      </c>
      <c r="I13" s="12"/>
      <c r="J13" s="12"/>
      <c r="K13" s="18" t="s">
        <v>68</v>
      </c>
      <c r="L13" s="12"/>
      <c r="M13" s="12"/>
      <c r="N13" s="12"/>
      <c r="O13" s="12"/>
      <c r="P13" s="19">
        <f t="shared" si="1"/>
        <v>4</v>
      </c>
      <c r="Q13" s="19">
        <f t="shared" si="2"/>
        <v>0</v>
      </c>
      <c r="R13" s="19">
        <f t="shared" si="3"/>
        <v>4</v>
      </c>
      <c r="S13" s="19" t="str">
        <f t="shared" si="4"/>
        <v>⚠ Must be 3+1 or 1+3</v>
      </c>
    </row>
    <row r="14">
      <c r="A14" s="11" t="str">
        <f>IF(Roster!A13="","",Roster!A13)</f>
        <v>Marcus Kunc</v>
      </c>
      <c r="B14" s="12">
        <f>IF(Roster!B13="","",Roster!B13)</f>
        <v>6</v>
      </c>
      <c r="C14" s="12" t="str">
        <f>IF(Roster!C13="","",Roster!C13)</f>
        <v>M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9">
        <f t="shared" si="1"/>
        <v>0</v>
      </c>
      <c r="Q14" s="19">
        <f t="shared" si="2"/>
        <v>0</v>
      </c>
      <c r="R14" s="19">
        <f t="shared" si="3"/>
        <v>0</v>
      </c>
      <c r="S14" s="19" t="str">
        <f t="shared" si="4"/>
        <v/>
      </c>
    </row>
    <row r="15">
      <c r="A15" s="11" t="str">
        <f>IF(Roster!A14="","",Roster!A14)</f>
        <v>Mattias Kunc</v>
      </c>
      <c r="B15" s="12">
        <f>IF(Roster!B14="","",Roster!B14)</f>
        <v>8</v>
      </c>
      <c r="C15" s="12" t="str">
        <f>IF(Roster!C14="","",Roster!C14)</f>
        <v>M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9">
        <f t="shared" si="1"/>
        <v>0</v>
      </c>
      <c r="Q15" s="19">
        <f t="shared" si="2"/>
        <v>0</v>
      </c>
      <c r="R15" s="19">
        <f t="shared" si="3"/>
        <v>0</v>
      </c>
      <c r="S15" s="19" t="str">
        <f t="shared" si="4"/>
        <v/>
      </c>
    </row>
    <row r="16">
      <c r="A16" s="11" t="str">
        <f>IF(Roster!A15="","",Roster!A15)</f>
        <v>Gabriel Nowariak</v>
      </c>
      <c r="B16" s="12">
        <f>IF(Roster!B15="","",Roster!B15)</f>
        <v>6</v>
      </c>
      <c r="C16" s="12" t="str">
        <f>IF(Roster!C15="","",Roster!C15)</f>
        <v>M</v>
      </c>
      <c r="D16" s="12"/>
      <c r="E16" s="12"/>
      <c r="F16" s="18" t="s">
        <v>66</v>
      </c>
      <c r="G16" s="12"/>
      <c r="H16" s="12"/>
      <c r="I16" s="18" t="s">
        <v>66</v>
      </c>
      <c r="J16" s="12"/>
      <c r="K16" s="12"/>
      <c r="L16" s="12"/>
      <c r="M16" s="18" t="s">
        <v>66</v>
      </c>
      <c r="N16" s="12"/>
      <c r="O16" s="18" t="s">
        <v>66</v>
      </c>
      <c r="P16" s="19">
        <f t="shared" si="1"/>
        <v>2</v>
      </c>
      <c r="Q16" s="19">
        <f t="shared" si="2"/>
        <v>2</v>
      </c>
      <c r="R16" s="19">
        <f t="shared" si="3"/>
        <v>4</v>
      </c>
      <c r="S16" s="19" t="str">
        <f t="shared" si="4"/>
        <v>⚠ Must be 3+1 or 1+3</v>
      </c>
    </row>
    <row r="17">
      <c r="A17" s="11" t="str">
        <f>IF(Roster!A16="","",Roster!A16)</f>
        <v>Annika Peterson</v>
      </c>
      <c r="B17" s="12">
        <f>IF(Roster!B16="","",Roster!B16)</f>
        <v>7</v>
      </c>
      <c r="C17" s="12" t="str">
        <f>IF(Roster!C16="","",Roster!C16)</f>
        <v>F</v>
      </c>
      <c r="D17" s="12"/>
      <c r="E17" s="18" t="s">
        <v>66</v>
      </c>
      <c r="F17" s="18" t="s">
        <v>66</v>
      </c>
      <c r="G17" s="12"/>
      <c r="H17" s="18" t="s">
        <v>67</v>
      </c>
      <c r="I17" s="12"/>
      <c r="J17" s="18" t="s">
        <v>66</v>
      </c>
      <c r="K17" s="18" t="s">
        <v>67</v>
      </c>
      <c r="L17" s="12"/>
      <c r="M17" s="18" t="s">
        <v>66</v>
      </c>
      <c r="N17" s="12"/>
      <c r="O17" s="12"/>
      <c r="P17" s="19">
        <f t="shared" si="1"/>
        <v>5</v>
      </c>
      <c r="Q17" s="19">
        <f t="shared" si="2"/>
        <v>1</v>
      </c>
      <c r="R17" s="19">
        <f t="shared" si="3"/>
        <v>6</v>
      </c>
      <c r="S17" s="19" t="str">
        <f t="shared" si="4"/>
        <v>❌ Over 4 events</v>
      </c>
    </row>
    <row r="18">
      <c r="A18" s="11" t="str">
        <f>IF(Roster!A17="","",Roster!A17)</f>
        <v>Amelia Roddy</v>
      </c>
      <c r="B18" s="12">
        <f>IF(Roster!B17="","",Roster!B17)</f>
        <v>6</v>
      </c>
      <c r="C18" s="12" t="str">
        <f>IF(Roster!C17="","",Roster!C17)</f>
        <v>F</v>
      </c>
      <c r="D18" s="12"/>
      <c r="E18" s="12"/>
      <c r="F18" s="12"/>
      <c r="G18" s="12"/>
      <c r="H18" s="18" t="s">
        <v>69</v>
      </c>
      <c r="I18" s="12"/>
      <c r="J18" s="12"/>
      <c r="K18" s="12"/>
      <c r="L18" s="12"/>
      <c r="M18" s="12"/>
      <c r="N18" s="12"/>
      <c r="O18" s="12"/>
      <c r="P18" s="19">
        <f t="shared" si="1"/>
        <v>1</v>
      </c>
      <c r="Q18" s="19">
        <f t="shared" si="2"/>
        <v>0</v>
      </c>
      <c r="R18" s="19">
        <f t="shared" si="3"/>
        <v>1</v>
      </c>
      <c r="S18" s="19" t="str">
        <f t="shared" si="4"/>
        <v>✓ OK</v>
      </c>
    </row>
    <row r="19">
      <c r="A19" s="11" t="str">
        <f>IF(Roster!A18="","",Roster!A18)</f>
        <v>Audrey Roffe</v>
      </c>
      <c r="B19" s="12">
        <f>IF(Roster!B18="","",Roster!B18)</f>
        <v>7</v>
      </c>
      <c r="C19" s="12" t="str">
        <f>IF(Roster!C18="","",Roster!C18)</f>
        <v>F</v>
      </c>
      <c r="D19" s="12"/>
      <c r="E19" s="12"/>
      <c r="F19" s="18" t="s">
        <v>66</v>
      </c>
      <c r="G19" s="12"/>
      <c r="H19" s="12"/>
      <c r="I19" s="12"/>
      <c r="J19" s="12"/>
      <c r="K19" s="12"/>
      <c r="L19" s="12"/>
      <c r="M19" s="18" t="s">
        <v>66</v>
      </c>
      <c r="N19" s="12"/>
      <c r="O19" s="12"/>
      <c r="P19" s="19">
        <f t="shared" si="1"/>
        <v>1</v>
      </c>
      <c r="Q19" s="19">
        <f t="shared" si="2"/>
        <v>1</v>
      </c>
      <c r="R19" s="19">
        <f t="shared" si="3"/>
        <v>2</v>
      </c>
      <c r="S19" s="19" t="str">
        <f t="shared" si="4"/>
        <v>✓ OK</v>
      </c>
    </row>
    <row r="20">
      <c r="A20" s="11" t="str">
        <f>IF(Roster!A19="","",Roster!A19)</f>
        <v>Louis Ryan</v>
      </c>
      <c r="B20" s="12">
        <f>IF(Roster!B19="","",Roster!B19)</f>
        <v>7</v>
      </c>
      <c r="C20" s="12" t="str">
        <f>IF(Roster!C19="","",Roster!C19)</f>
        <v>M</v>
      </c>
      <c r="D20" s="12"/>
      <c r="E20" s="18" t="s">
        <v>66</v>
      </c>
      <c r="F20" s="12"/>
      <c r="G20" s="12"/>
      <c r="H20" s="12"/>
      <c r="I20" s="12"/>
      <c r="J20" s="18" t="s">
        <v>66</v>
      </c>
      <c r="K20" s="12"/>
      <c r="L20" s="12"/>
      <c r="M20" s="12"/>
      <c r="N20" s="12"/>
      <c r="O20" s="18" t="s">
        <v>66</v>
      </c>
      <c r="P20" s="19">
        <f t="shared" si="1"/>
        <v>2</v>
      </c>
      <c r="Q20" s="19">
        <f t="shared" si="2"/>
        <v>1</v>
      </c>
      <c r="R20" s="19">
        <f t="shared" si="3"/>
        <v>3</v>
      </c>
      <c r="S20" s="19" t="str">
        <f t="shared" si="4"/>
        <v>✓ OK</v>
      </c>
    </row>
    <row r="21" ht="15.75" customHeight="1">
      <c r="A21" s="11" t="str">
        <f>IF(Roster!A20="","",Roster!A20)</f>
        <v>Arya Sanaka</v>
      </c>
      <c r="B21" s="12">
        <f>IF(Roster!B20="","",Roster!B20)</f>
        <v>7</v>
      </c>
      <c r="C21" s="12" t="str">
        <f>IF(Roster!C20="","",Roster!C20)</f>
        <v>M</v>
      </c>
      <c r="D21" s="12"/>
      <c r="E21" s="18" t="s">
        <v>66</v>
      </c>
      <c r="F21" s="12"/>
      <c r="G21" s="12"/>
      <c r="H21" s="12"/>
      <c r="I21" s="18" t="s">
        <v>66</v>
      </c>
      <c r="J21" s="12"/>
      <c r="K21" s="12"/>
      <c r="L21" s="18" t="s">
        <v>66</v>
      </c>
      <c r="M21" s="18" t="s">
        <v>66</v>
      </c>
      <c r="N21" s="12"/>
      <c r="O21" s="12"/>
      <c r="P21" s="19">
        <f t="shared" si="1"/>
        <v>2</v>
      </c>
      <c r="Q21" s="19">
        <f t="shared" si="2"/>
        <v>2</v>
      </c>
      <c r="R21" s="19">
        <f t="shared" si="3"/>
        <v>4</v>
      </c>
      <c r="S21" s="19" t="str">
        <f t="shared" si="4"/>
        <v>⚠ Must be 3+1 or 1+3</v>
      </c>
    </row>
    <row r="22" ht="15.75" customHeight="1">
      <c r="A22" s="11" t="str">
        <f>IF(Roster!A21="","",Roster!A21)</f>
        <v>Ben Surla</v>
      </c>
      <c r="B22" s="12">
        <f>IF(Roster!B21="","",Roster!B21)</f>
        <v>7</v>
      </c>
      <c r="C22" s="12" t="str">
        <f>IF(Roster!C21="","",Roster!C21)</f>
        <v>M</v>
      </c>
      <c r="D22" s="12"/>
      <c r="E22" s="18" t="s">
        <v>66</v>
      </c>
      <c r="F22" s="18" t="s">
        <v>66</v>
      </c>
      <c r="G22" s="12"/>
      <c r="H22" s="12"/>
      <c r="I22" s="12"/>
      <c r="J22" s="18" t="s">
        <v>66</v>
      </c>
      <c r="K22" s="12"/>
      <c r="L22" s="12"/>
      <c r="M22" s="12"/>
      <c r="N22" s="12"/>
      <c r="O22" s="12"/>
      <c r="P22" s="19">
        <f t="shared" si="1"/>
        <v>3</v>
      </c>
      <c r="Q22" s="19">
        <f t="shared" si="2"/>
        <v>0</v>
      </c>
      <c r="R22" s="19">
        <f t="shared" si="3"/>
        <v>3</v>
      </c>
      <c r="S22" s="19" t="str">
        <f t="shared" si="4"/>
        <v>✓ OK</v>
      </c>
    </row>
    <row r="23" ht="15.75" customHeight="1">
      <c r="A23" s="11" t="str">
        <f>IF(Roster!A22="","",Roster!A22)</f>
        <v>Jin Trenh</v>
      </c>
      <c r="B23" s="12">
        <f>IF(Roster!B22="","",Roster!B22)</f>
        <v>8</v>
      </c>
      <c r="C23" s="12" t="str">
        <f>IF(Roster!C22="","",Roster!C22)</f>
        <v>M</v>
      </c>
      <c r="D23" s="12"/>
      <c r="E23" s="18" t="s">
        <v>66</v>
      </c>
      <c r="F23" s="12"/>
      <c r="G23" s="12"/>
      <c r="H23" s="18" t="s">
        <v>66</v>
      </c>
      <c r="I23" s="18" t="s">
        <v>66</v>
      </c>
      <c r="J23" s="12"/>
      <c r="K23" s="12"/>
      <c r="L23" s="12"/>
      <c r="M23" s="12"/>
      <c r="N23" s="12"/>
      <c r="O23" s="12"/>
      <c r="P23" s="19">
        <f t="shared" si="1"/>
        <v>3</v>
      </c>
      <c r="Q23" s="19">
        <f t="shared" si="2"/>
        <v>0</v>
      </c>
      <c r="R23" s="19">
        <f t="shared" si="3"/>
        <v>3</v>
      </c>
      <c r="S23" s="19" t="str">
        <f t="shared" si="4"/>
        <v>✓ OK</v>
      </c>
    </row>
    <row r="24" ht="15.75" customHeight="1">
      <c r="A24" s="11" t="str">
        <f>IF(Roster!A23="","",Roster!A23)</f>
        <v>Caleb Wilson</v>
      </c>
      <c r="B24" s="12">
        <f>IF(Roster!B23="","",Roster!B23)</f>
        <v>7</v>
      </c>
      <c r="C24" s="12" t="str">
        <f>IF(Roster!C23="","",Roster!C23)</f>
        <v>M</v>
      </c>
      <c r="D24" s="12"/>
      <c r="E24" s="18" t="s">
        <v>66</v>
      </c>
      <c r="F24" s="12"/>
      <c r="G24" s="12"/>
      <c r="H24" s="12"/>
      <c r="I24" s="18" t="s">
        <v>66</v>
      </c>
      <c r="J24" s="18" t="s">
        <v>66</v>
      </c>
      <c r="K24" s="12"/>
      <c r="L24" s="12"/>
      <c r="M24" s="12"/>
      <c r="N24" s="12"/>
      <c r="O24" s="18" t="s">
        <v>66</v>
      </c>
      <c r="P24" s="19">
        <f t="shared" si="1"/>
        <v>3</v>
      </c>
      <c r="Q24" s="19">
        <f t="shared" si="2"/>
        <v>1</v>
      </c>
      <c r="R24" s="19">
        <f t="shared" si="3"/>
        <v>4</v>
      </c>
      <c r="S24" s="19" t="str">
        <f t="shared" si="4"/>
        <v>✓ OK</v>
      </c>
    </row>
    <row r="25" ht="15.75" customHeight="1">
      <c r="A25" s="11" t="str">
        <f>IF(Roster!A24="","",Roster!A24)</f>
        <v>Isaac Wilson</v>
      </c>
      <c r="B25" s="12">
        <f>IF(Roster!B24="","",Roster!B24)</f>
        <v>7</v>
      </c>
      <c r="C25" s="12" t="str">
        <f>IF(Roster!C24="","",Roster!C24)</f>
        <v>M</v>
      </c>
      <c r="D25" s="12"/>
      <c r="E25" s="12"/>
      <c r="F25" s="12"/>
      <c r="G25" s="12"/>
      <c r="H25" s="18" t="s">
        <v>68</v>
      </c>
      <c r="I25" s="12"/>
      <c r="J25" s="12"/>
      <c r="K25" s="18" t="s">
        <v>68</v>
      </c>
      <c r="L25" s="12"/>
      <c r="M25" s="12"/>
      <c r="N25" s="12"/>
      <c r="O25" s="12"/>
      <c r="P25" s="19">
        <f t="shared" si="1"/>
        <v>2</v>
      </c>
      <c r="Q25" s="19">
        <f t="shared" si="2"/>
        <v>0</v>
      </c>
      <c r="R25" s="19">
        <f t="shared" si="3"/>
        <v>2</v>
      </c>
      <c r="S25" s="19" t="str">
        <f t="shared" si="4"/>
        <v>✓ OK</v>
      </c>
    </row>
    <row r="26" ht="15.75" customHeight="1">
      <c r="A26" s="13" t="s">
        <v>70</v>
      </c>
      <c r="B26" s="12">
        <f>IF(Roster!B25="","",Roster!B25)</f>
        <v>7</v>
      </c>
      <c r="C26" s="12" t="str">
        <f>IF(Roster!C25="","",Roster!C25)</f>
        <v>M</v>
      </c>
      <c r="D26" s="12"/>
      <c r="E26" s="18" t="s">
        <v>66</v>
      </c>
      <c r="F26" s="12"/>
      <c r="G26" s="12"/>
      <c r="H26" s="18" t="s">
        <v>69</v>
      </c>
      <c r="I26" s="18" t="s">
        <v>66</v>
      </c>
      <c r="J26" s="12"/>
      <c r="K26" s="12"/>
      <c r="L26" s="12"/>
      <c r="M26" s="18" t="s">
        <v>66</v>
      </c>
      <c r="N26" s="12"/>
      <c r="O26" s="12"/>
      <c r="P26" s="19">
        <f t="shared" si="1"/>
        <v>3</v>
      </c>
      <c r="Q26" s="19">
        <f t="shared" si="2"/>
        <v>1</v>
      </c>
      <c r="R26" s="19">
        <f t="shared" si="3"/>
        <v>4</v>
      </c>
      <c r="S26" s="19" t="str">
        <f t="shared" si="4"/>
        <v>✓ OK</v>
      </c>
    </row>
    <row r="27" ht="15.75" customHeight="1">
      <c r="A27" s="13" t="s">
        <v>71</v>
      </c>
      <c r="B27" s="12" t="str">
        <f>IF(Roster!B26="","",Roster!B26)</f>
        <v/>
      </c>
      <c r="C27" s="12" t="str">
        <f>IF(Roster!C26="","",Roster!C26)</f>
        <v/>
      </c>
      <c r="D27" s="12"/>
      <c r="E27" s="18" t="s">
        <v>66</v>
      </c>
      <c r="F27" s="12"/>
      <c r="G27" s="18" t="s">
        <v>66</v>
      </c>
      <c r="H27" s="12"/>
      <c r="I27" s="18" t="s">
        <v>66</v>
      </c>
      <c r="J27" s="12"/>
      <c r="K27" s="12"/>
      <c r="L27" s="12"/>
      <c r="M27" s="12"/>
      <c r="N27" s="12"/>
      <c r="O27" s="12"/>
      <c r="P27" s="19">
        <f t="shared" si="1"/>
        <v>3</v>
      </c>
      <c r="Q27" s="19">
        <f t="shared" si="2"/>
        <v>0</v>
      </c>
      <c r="R27" s="19">
        <f t="shared" si="3"/>
        <v>3</v>
      </c>
      <c r="S27" s="19" t="str">
        <f t="shared" si="4"/>
        <v>✓ OK</v>
      </c>
    </row>
    <row r="28" ht="15.75" customHeight="1">
      <c r="A28" s="13" t="s">
        <v>72</v>
      </c>
      <c r="B28" s="12" t="str">
        <f>IF(Roster!B27="","",Roster!B27)</f>
        <v/>
      </c>
      <c r="C28" s="12" t="str">
        <f>IF(Roster!C27="","",Roster!C27)</f>
        <v/>
      </c>
      <c r="D28" s="12"/>
      <c r="E28" s="18" t="s">
        <v>66</v>
      </c>
      <c r="F28" s="12"/>
      <c r="G28" s="12"/>
      <c r="H28" s="18" t="s">
        <v>69</v>
      </c>
      <c r="I28" s="18" t="s">
        <v>66</v>
      </c>
      <c r="J28" s="12"/>
      <c r="K28" s="12"/>
      <c r="L28" s="12"/>
      <c r="M28" s="18" t="s">
        <v>66</v>
      </c>
      <c r="N28" s="12"/>
      <c r="O28" s="12"/>
      <c r="P28" s="19">
        <f t="shared" si="1"/>
        <v>3</v>
      </c>
      <c r="Q28" s="19">
        <f t="shared" si="2"/>
        <v>1</v>
      </c>
      <c r="R28" s="19">
        <f t="shared" si="3"/>
        <v>4</v>
      </c>
      <c r="S28" s="19" t="str">
        <f t="shared" si="4"/>
        <v>✓ OK</v>
      </c>
    </row>
    <row r="29" ht="15.75" customHeight="1">
      <c r="A29" s="13" t="s">
        <v>73</v>
      </c>
      <c r="B29" s="12" t="str">
        <f>IF(Roster!B28="","",Roster!B28)</f>
        <v/>
      </c>
      <c r="C29" s="12" t="str">
        <f>IF(Roster!C28="","",Roster!C28)</f>
        <v/>
      </c>
      <c r="D29" s="12"/>
      <c r="E29" s="18" t="s">
        <v>66</v>
      </c>
      <c r="F29" s="12"/>
      <c r="G29" s="18" t="s">
        <v>66</v>
      </c>
      <c r="H29" s="12"/>
      <c r="I29" s="12"/>
      <c r="J29" s="12"/>
      <c r="K29" s="12"/>
      <c r="L29" s="12"/>
      <c r="M29" s="12"/>
      <c r="N29" s="12"/>
      <c r="O29" s="18" t="s">
        <v>66</v>
      </c>
      <c r="P29" s="19">
        <f t="shared" si="1"/>
        <v>2</v>
      </c>
      <c r="Q29" s="19">
        <f t="shared" si="2"/>
        <v>1</v>
      </c>
      <c r="R29" s="19">
        <f t="shared" si="3"/>
        <v>3</v>
      </c>
      <c r="S29" s="19" t="str">
        <f t="shared" si="4"/>
        <v>✓ OK</v>
      </c>
    </row>
    <row r="30" ht="15.75" customHeight="1">
      <c r="A30" s="11" t="str">
        <f>IF(Roster!A29="","",Roster!A29)</f>
        <v>Cole Beaudry</v>
      </c>
      <c r="B30" s="12">
        <f>IF(Roster!B29="","",Roster!B29)</f>
        <v>7</v>
      </c>
      <c r="C30" s="12" t="str">
        <f>IF(Roster!C29="","",Roster!C29)</f>
        <v>M</v>
      </c>
      <c r="D30" s="18" t="s">
        <v>66</v>
      </c>
      <c r="E30" s="12"/>
      <c r="F30" s="12"/>
      <c r="G30" s="12"/>
      <c r="H30" s="18" t="s">
        <v>68</v>
      </c>
      <c r="I30" s="12"/>
      <c r="J30" s="18" t="s">
        <v>66</v>
      </c>
      <c r="K30" s="18" t="s">
        <v>68</v>
      </c>
      <c r="L30" s="12"/>
      <c r="M30" s="12"/>
      <c r="N30" s="12"/>
      <c r="O30" s="12"/>
      <c r="P30" s="19">
        <f t="shared" si="1"/>
        <v>4</v>
      </c>
      <c r="Q30" s="19">
        <f t="shared" si="2"/>
        <v>0</v>
      </c>
      <c r="R30" s="19">
        <f t="shared" si="3"/>
        <v>4</v>
      </c>
      <c r="S30" s="19" t="str">
        <f t="shared" si="4"/>
        <v>⚠ Must be 3+1 or 1+3</v>
      </c>
    </row>
    <row r="31" ht="15.75" customHeight="1">
      <c r="A31" s="13" t="s">
        <v>74</v>
      </c>
      <c r="B31" s="12" t="str">
        <f>IF(Roster!B30="","",Roster!B30)</f>
        <v/>
      </c>
      <c r="C31" s="12" t="str">
        <f>IF(Roster!C30="","",Roster!C30)</f>
        <v/>
      </c>
      <c r="D31" s="12"/>
      <c r="E31" s="12"/>
      <c r="F31" s="12"/>
      <c r="G31" s="12"/>
      <c r="H31" s="18" t="s">
        <v>67</v>
      </c>
      <c r="I31" s="18" t="s">
        <v>66</v>
      </c>
      <c r="J31" s="12"/>
      <c r="K31" s="18" t="s">
        <v>67</v>
      </c>
      <c r="L31" s="12"/>
      <c r="M31" s="18" t="s">
        <v>66</v>
      </c>
      <c r="N31" s="12"/>
      <c r="O31" s="12"/>
      <c r="P31" s="19">
        <f t="shared" si="1"/>
        <v>3</v>
      </c>
      <c r="Q31" s="19">
        <f t="shared" si="2"/>
        <v>1</v>
      </c>
      <c r="R31" s="19">
        <f t="shared" si="3"/>
        <v>4</v>
      </c>
      <c r="S31" s="19" t="str">
        <f t="shared" si="4"/>
        <v>✓ OK</v>
      </c>
    </row>
    <row r="32" ht="15.75" customHeight="1">
      <c r="A32" s="13" t="s">
        <v>75</v>
      </c>
      <c r="B32" s="12" t="str">
        <f>IF(Roster!B31="","",Roster!B31)</f>
        <v/>
      </c>
      <c r="C32" s="12" t="str">
        <f>IF(Roster!C31="","",Roster!C31)</f>
        <v/>
      </c>
      <c r="D32" s="12"/>
      <c r="E32" s="18" t="s">
        <v>66</v>
      </c>
      <c r="F32" s="12"/>
      <c r="G32" s="18" t="s">
        <v>66</v>
      </c>
      <c r="H32" s="12"/>
      <c r="I32" s="18" t="s">
        <v>66</v>
      </c>
      <c r="J32" s="12"/>
      <c r="K32" s="12"/>
      <c r="L32" s="12"/>
      <c r="M32" s="12"/>
      <c r="N32" s="12"/>
      <c r="O32" s="18" t="s">
        <v>66</v>
      </c>
      <c r="P32" s="19">
        <f t="shared" si="1"/>
        <v>3</v>
      </c>
      <c r="Q32" s="19">
        <f t="shared" si="2"/>
        <v>1</v>
      </c>
      <c r="R32" s="19">
        <f t="shared" si="3"/>
        <v>4</v>
      </c>
      <c r="S32" s="19" t="str">
        <f t="shared" si="4"/>
        <v>✓ OK</v>
      </c>
    </row>
    <row r="33" ht="15.75" customHeight="1">
      <c r="A33" s="13" t="s">
        <v>35</v>
      </c>
      <c r="B33" s="12" t="str">
        <f>IF(Roster!B32="","",Roster!B32)</f>
        <v/>
      </c>
      <c r="C33" s="12" t="str">
        <f>IF(Roster!C32="","",Roster!C32)</f>
        <v/>
      </c>
      <c r="D33" s="12"/>
      <c r="E33" s="12"/>
      <c r="F33" s="18" t="s">
        <v>66</v>
      </c>
      <c r="G33" s="12"/>
      <c r="H33" s="12"/>
      <c r="I33" s="18" t="s">
        <v>66</v>
      </c>
      <c r="J33" s="12"/>
      <c r="K33" s="12"/>
      <c r="L33" s="12"/>
      <c r="M33" s="18" t="s">
        <v>66</v>
      </c>
      <c r="N33" s="12"/>
      <c r="O33" s="18" t="s">
        <v>66</v>
      </c>
      <c r="P33" s="19">
        <f t="shared" si="1"/>
        <v>2</v>
      </c>
      <c r="Q33" s="19">
        <f t="shared" si="2"/>
        <v>2</v>
      </c>
      <c r="R33" s="19">
        <f t="shared" si="3"/>
        <v>4</v>
      </c>
      <c r="S33" s="19" t="str">
        <f t="shared" si="4"/>
        <v>⚠ Must be 3+1 or 1+3</v>
      </c>
    </row>
    <row r="34" ht="15.75" customHeight="1">
      <c r="A34" s="13" t="s">
        <v>76</v>
      </c>
      <c r="B34" s="12" t="str">
        <f>IF(Roster!B33="","",Roster!B33)</f>
        <v/>
      </c>
      <c r="C34" s="12" t="str">
        <f>IF(Roster!C33="","",Roster!C33)</f>
        <v/>
      </c>
      <c r="D34" s="12"/>
      <c r="E34" s="18" t="s">
        <v>66</v>
      </c>
      <c r="F34" s="12"/>
      <c r="G34" s="12"/>
      <c r="H34" s="18" t="s">
        <v>66</v>
      </c>
      <c r="I34" s="18" t="s">
        <v>66</v>
      </c>
      <c r="J34" s="12"/>
      <c r="K34" s="18" t="s">
        <v>66</v>
      </c>
      <c r="L34" s="12"/>
      <c r="M34" s="12"/>
      <c r="N34" s="12"/>
      <c r="O34" s="12"/>
      <c r="P34" s="19">
        <f t="shared" si="1"/>
        <v>4</v>
      </c>
      <c r="Q34" s="19">
        <f t="shared" si="2"/>
        <v>0</v>
      </c>
      <c r="R34" s="19">
        <f t="shared" si="3"/>
        <v>4</v>
      </c>
      <c r="S34" s="19" t="str">
        <f t="shared" si="4"/>
        <v>⚠ Must be 3+1 or 1+3</v>
      </c>
    </row>
    <row r="35" ht="15.75" customHeight="1">
      <c r="A35" s="13" t="s">
        <v>77</v>
      </c>
      <c r="B35" s="12" t="str">
        <f>IF(Roster!B34="","",Roster!B34)</f>
        <v/>
      </c>
      <c r="C35" s="12" t="str">
        <f>IF(Roster!C34="","",Roster!C34)</f>
        <v/>
      </c>
      <c r="D35" s="12"/>
      <c r="E35" s="12"/>
      <c r="F35" s="12"/>
      <c r="G35" s="18" t="s">
        <v>66</v>
      </c>
      <c r="H35" s="18" t="s">
        <v>66</v>
      </c>
      <c r="I35" s="12"/>
      <c r="J35" s="12"/>
      <c r="K35" s="12"/>
      <c r="L35" s="12"/>
      <c r="M35" s="12"/>
      <c r="N35" s="12"/>
      <c r="O35" s="18" t="s">
        <v>66</v>
      </c>
      <c r="P35" s="19">
        <f t="shared" si="1"/>
        <v>2</v>
      </c>
      <c r="Q35" s="19">
        <f t="shared" si="2"/>
        <v>1</v>
      </c>
      <c r="R35" s="19">
        <f t="shared" si="3"/>
        <v>3</v>
      </c>
      <c r="S35" s="19" t="str">
        <f t="shared" si="4"/>
        <v>✓ OK</v>
      </c>
    </row>
    <row r="36" ht="15.75" customHeight="1">
      <c r="A36" s="13" t="s">
        <v>78</v>
      </c>
      <c r="B36" s="12" t="str">
        <f>IF(Roster!B35="","",Roster!B35)</f>
        <v/>
      </c>
      <c r="C36" s="12" t="str">
        <f>IF(Roster!C35="","",Roster!C35)</f>
        <v/>
      </c>
      <c r="D36" s="12"/>
      <c r="E36" s="18" t="s">
        <v>66</v>
      </c>
      <c r="F36" s="12"/>
      <c r="G36" s="12"/>
      <c r="H36" s="18" t="s">
        <v>66</v>
      </c>
      <c r="I36" s="18" t="s">
        <v>66</v>
      </c>
      <c r="J36" s="12"/>
      <c r="K36" s="12"/>
      <c r="L36" s="12"/>
      <c r="M36" s="18" t="s">
        <v>66</v>
      </c>
      <c r="N36" s="12"/>
      <c r="O36" s="12"/>
      <c r="P36" s="19">
        <f t="shared" si="1"/>
        <v>3</v>
      </c>
      <c r="Q36" s="19">
        <f t="shared" si="2"/>
        <v>1</v>
      </c>
      <c r="R36" s="19">
        <f t="shared" si="3"/>
        <v>4</v>
      </c>
      <c r="S36" s="19" t="str">
        <f t="shared" si="4"/>
        <v>✓ OK</v>
      </c>
    </row>
    <row r="37" ht="15.75" customHeight="1">
      <c r="A37" s="11" t="str">
        <f>IF(Roster!A36="","",Roster!A36)</f>
        <v/>
      </c>
      <c r="B37" s="12" t="str">
        <f>IF(Roster!B36="","",Roster!B36)</f>
        <v/>
      </c>
      <c r="C37" s="12" t="str">
        <f>IF(Roster!C36="","",Roster!C36)</f>
        <v/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9" t="str">
        <f t="shared" si="1"/>
        <v/>
      </c>
      <c r="Q37" s="19" t="str">
        <f t="shared" si="2"/>
        <v/>
      </c>
      <c r="R37" s="19" t="str">
        <f t="shared" si="3"/>
        <v/>
      </c>
      <c r="S37" s="19" t="str">
        <f t="shared" si="4"/>
        <v/>
      </c>
    </row>
    <row r="38" ht="15.75" customHeight="1">
      <c r="A38" s="11" t="str">
        <f>IF(Roster!A37="","",Roster!A37)</f>
        <v/>
      </c>
      <c r="B38" s="12" t="str">
        <f>IF(Roster!B37="","",Roster!B37)</f>
        <v/>
      </c>
      <c r="C38" s="12" t="str">
        <f>IF(Roster!C37="","",Roster!C37)</f>
        <v/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9" t="str">
        <f t="shared" si="1"/>
        <v/>
      </c>
      <c r="Q38" s="19" t="str">
        <f t="shared" si="2"/>
        <v/>
      </c>
      <c r="R38" s="19" t="str">
        <f t="shared" si="3"/>
        <v/>
      </c>
      <c r="S38" s="19" t="str">
        <f t="shared" si="4"/>
        <v/>
      </c>
    </row>
    <row r="39" ht="15.75" customHeight="1">
      <c r="A39" s="11" t="str">
        <f>IF(Roster!A38="","",Roster!A38)</f>
        <v/>
      </c>
      <c r="B39" s="12" t="str">
        <f>IF(Roster!B38="","",Roster!B38)</f>
        <v/>
      </c>
      <c r="C39" s="12" t="str">
        <f>IF(Roster!C38="","",Roster!C38)</f>
        <v/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9" t="str">
        <f t="shared" si="1"/>
        <v/>
      </c>
      <c r="Q39" s="19" t="str">
        <f t="shared" si="2"/>
        <v/>
      </c>
      <c r="R39" s="19" t="str">
        <f t="shared" si="3"/>
        <v/>
      </c>
      <c r="S39" s="19" t="str">
        <f t="shared" si="4"/>
        <v/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S1"/>
    <mergeCell ref="D2:K2"/>
    <mergeCell ref="L2:O2"/>
    <mergeCell ref="P2:S2"/>
  </mergeCells>
  <conditionalFormatting sqref="R4:R39">
    <cfRule type="cellIs" dxfId="0" priority="1" operator="greaterThan">
      <formula>4</formula>
    </cfRule>
  </conditionalFormatting>
  <conditionalFormatting sqref="S4:S39">
    <cfRule type="expression" dxfId="0" priority="2">
      <formula>ISNUMBER(SEARCH("❌",S4))</formula>
    </cfRule>
  </conditionalFormatting>
  <conditionalFormatting sqref="S4:S39">
    <cfRule type="expression" dxfId="1" priority="3">
      <formula>ISNUMBER(SEARCH("⚠",S4))</formula>
    </cfRule>
  </conditionalFormatting>
  <conditionalFormatting sqref="S4:S39">
    <cfRule type="expression" dxfId="2" priority="4">
      <formula>ISNUMBER(SEARCH("OK",S4))</formula>
    </cfRule>
  </conditionalFormatting>
  <dataValidations>
    <dataValidation type="list" allowBlank="1" sqref="D4:G39 I4:J39 L4:O39">
      <formula1>"X"</formula1>
    </dataValidation>
    <dataValidation type="list" allowBlank="1" sqref="H4:H39 K4:K39">
      <formula1>"X,A,B,C,D"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21.75" customHeight="1">
      <c r="A1" s="7" t="s">
        <v>79</v>
      </c>
      <c r="B1" s="9"/>
    </row>
    <row r="3">
      <c r="A3" s="20" t="s">
        <v>80</v>
      </c>
      <c r="B3" s="9"/>
    </row>
    <row r="4">
      <c r="A4" s="21" t="s">
        <v>81</v>
      </c>
      <c r="B4" s="9"/>
    </row>
    <row r="5">
      <c r="A5" s="22" t="s">
        <v>82</v>
      </c>
      <c r="B5" s="23" t="str">
        <f>IFERROR(__xludf.DUMMYFUNCTION("IFERROR(TEXTJOIN("", "",TRUE,FILTER(Signup!$A$4:$A$28,(Signup!$D$4:$D$28=""X"")*(((Signup!$B$4:$B$28=6)+(Signup!$B$4:$B$28=7))&gt;0)*(Signup!$C$4:$C$28=""F""))),"""")"),"Keva Bowron, Vienna Haas")</f>
        <v>Keva Bowron, Vienna Haas</v>
      </c>
    </row>
    <row r="6">
      <c r="A6" s="22" t="s">
        <v>83</v>
      </c>
      <c r="B6" s="23" t="str">
        <f>IFERROR(__xludf.DUMMYFUNCTION("IFERROR(TEXTJOIN("", "",TRUE,FILTER(Signup!$A$4:$A$28,(Signup!$D$4:$D$28=""X"")*(Signup!$B$4:$B$28=8)*(Signup!$C$4:$C$28=""F""))),"""")"),"")</f>
        <v/>
      </c>
    </row>
    <row r="7">
      <c r="A7" s="22" t="s">
        <v>84</v>
      </c>
      <c r="B7" s="23" t="str">
        <f>IFERROR(__xludf.DUMMYFUNCTION("IFERROR(TEXTJOIN("", "",TRUE,FILTER(Signup!$A$4:$A$28,(Signup!$D$4:$D$28=""X"")*(((Signup!$B$4:$B$28=6)+(Signup!$B$4:$B$28=7))&gt;0)*(Signup!$C$4:$C$28=""M""))),"""")"),"Ari Klapperich-Khuu")</f>
        <v>Ari Klapperich-Khuu</v>
      </c>
    </row>
    <row r="8">
      <c r="A8" s="22" t="s">
        <v>85</v>
      </c>
      <c r="B8" s="23" t="str">
        <f>IFERROR(__xludf.DUMMYFUNCTION("IFERROR(TEXTJOIN("", "",TRUE,FILTER(Signup!$A$4:$A$28,(Signup!$D$4:$D$28=""X"")*(Signup!$B$4:$B$28=8)*(Signup!$C$4:$C$28=""M""))),"""")"),"")</f>
        <v/>
      </c>
    </row>
    <row r="9">
      <c r="A9" s="22" t="s">
        <v>86</v>
      </c>
      <c r="B9" s="23" t="str">
        <f>IFERROR(__xludf.DUMMYFUNCTION("IFERROR(TEXTJOIN("", "",TRUE,FILTER(Signup!$A$4:$A$28,(Signup!$D$4:$D$28=""X"")*(Signup!$B$4:$B$28=5)*(Signup!$C$4:$C$28=""F""))),"""")"),"")</f>
        <v/>
      </c>
    </row>
    <row r="10">
      <c r="A10" s="22" t="s">
        <v>87</v>
      </c>
      <c r="B10" s="23" t="str">
        <f>IFERROR(__xludf.DUMMYFUNCTION("IFERROR(TEXTJOIN("", "",TRUE,FILTER(Signup!$A$4:$A$28,(Signup!$D$4:$D$28=""X"")*(Signup!$B$4:$B$28=5)*(Signup!$C$4:$C$28=""M""))),"""")"),"")</f>
        <v/>
      </c>
    </row>
    <row r="12">
      <c r="A12" s="21" t="s">
        <v>88</v>
      </c>
      <c r="B12" s="9"/>
    </row>
    <row r="13">
      <c r="A13" s="22" t="s">
        <v>82</v>
      </c>
      <c r="B13" s="23" t="str">
        <f>IFERROR(__xludf.DUMMYFUNCTION("IFERROR(TEXTJOIN("", "",TRUE,FILTER(Signup!$A$4:$A$28,(Signup!$E$4:$E$28=""X"")*(((Signup!$B$4:$B$28=6)+(Signup!$B$4:$B$28=7))&gt;0)*(Signup!$C$4:$C$28=""F""))),"""")"),"Annika Peterson")</f>
        <v>Annika Peterson</v>
      </c>
    </row>
    <row r="14">
      <c r="A14" s="22" t="s">
        <v>83</v>
      </c>
      <c r="B14" s="23" t="str">
        <f>IFERROR(__xludf.DUMMYFUNCTION("IFERROR(TEXTJOIN("", "",TRUE,FILTER(Signup!$A$4:$A$28,(Signup!$E$4:$E$28=""X"")*(Signup!$B$4:$B$28=8)*(Signup!$C$4:$C$28=""F""))),"""")"),"")</f>
        <v/>
      </c>
    </row>
    <row r="15">
      <c r="A15" s="22" t="s">
        <v>84</v>
      </c>
      <c r="B15" s="23" t="str">
        <f>IFERROR(__xludf.DUMMYFUNCTION("IFERROR(TEXTJOIN("", "",TRUE,FILTER(Signup!$A$4:$A$28,(Signup!$E$4:$E$28=""X"")*(((Signup!$B$4:$B$28=6)+(Signup!$B$4:$B$28=7))&gt;0)*(Signup!$C$4:$C$28=""M""))),"""")"),"Reuben Addington, Kai Dinger, Remy Fortin, Ari Klapperich-Khuu, Louis Ryan, Arya Sanaka, Ben Surla, Caleb Wilson, Perrin Light-Haberstroh")</f>
        <v>Reuben Addington, Kai Dinger, Remy Fortin, Ari Klapperich-Khuu, Louis Ryan, Arya Sanaka, Ben Surla, Caleb Wilson, Perrin Light-Haberstroh</v>
      </c>
    </row>
    <row r="16">
      <c r="A16" s="22" t="s">
        <v>85</v>
      </c>
      <c r="B16" s="23" t="str">
        <f>IFERROR(__xludf.DUMMYFUNCTION("IFERROR(TEXTJOIN("", "",TRUE,FILTER(Signup!$A$4:$A$28,(Signup!$E$4:$E$28=""X"")*(Signup!$B$4:$B$28=8)*(Signup!$C$4:$C$28=""M""))),"""")"),"Jin Trenh")</f>
        <v>Jin Trenh</v>
      </c>
    </row>
    <row r="17">
      <c r="A17" s="22" t="s">
        <v>86</v>
      </c>
      <c r="B17" s="23" t="str">
        <f>IFERROR(__xludf.DUMMYFUNCTION("IFERROR(TEXTJOIN("", "",TRUE,FILTER(Signup!$A$4:$A$28,(Signup!$E$4:$E$28=""X"")*(Signup!$B$4:$B$28=5)*(Signup!$C$4:$C$28=""F""))),"""")"),"")</f>
        <v/>
      </c>
    </row>
    <row r="18">
      <c r="A18" s="22" t="s">
        <v>87</v>
      </c>
      <c r="B18" s="23" t="str">
        <f>IFERROR(__xludf.DUMMYFUNCTION("IFERROR(TEXTJOIN("", "",TRUE,FILTER(Signup!$A$4:$A$28,(Signup!$E$4:$E$28=""X"")*(Signup!$B$4:$B$28=5)*(Signup!$C$4:$C$28=""M""))),"""")"),"")</f>
        <v/>
      </c>
    </row>
    <row r="20">
      <c r="A20" s="21" t="s">
        <v>89</v>
      </c>
      <c r="B20" s="9"/>
    </row>
    <row r="21" ht="15.75" customHeight="1">
      <c r="A21" s="22" t="s">
        <v>82</v>
      </c>
      <c r="B21" s="23" t="str">
        <f>IFERROR(__xludf.DUMMYFUNCTION("IFERROR(TEXTJOIN("", "",TRUE,FILTER(Signup!$A$4:$A$28,(Signup!$F$4:$F$28=""X"")*(((Signup!$B$4:$B$28=6)+(Signup!$B$4:$B$28=7))&gt;0)*(Signup!$C$4:$C$28=""F""))),"""")"),"Annika Peterson, Audrey Roffe")</f>
        <v>Annika Peterson, Audrey Roffe</v>
      </c>
    </row>
    <row r="22" ht="15.75" customHeight="1">
      <c r="A22" s="22" t="s">
        <v>83</v>
      </c>
      <c r="B22" s="23" t="str">
        <f>IFERROR(__xludf.DUMMYFUNCTION("IFERROR(TEXTJOIN("", "",TRUE,FILTER(Signup!$A$4:$A$28,(Signup!$F$4:$F$28=""X"")*(Signup!$B$4:$B$28=8)*(Signup!$C$4:$C$28=""F""))),"""")"),"")</f>
        <v/>
      </c>
    </row>
    <row r="23" ht="15.75" customHeight="1">
      <c r="A23" s="22" t="s">
        <v>84</v>
      </c>
      <c r="B23" s="23" t="str">
        <f>IFERROR(__xludf.DUMMYFUNCTION("IFERROR(TEXTJOIN("", "",TRUE,FILTER(Signup!$A$4:$A$28,(Signup!$F$4:$F$28=""X"")*(((Signup!$B$4:$B$28=6)+(Signup!$B$4:$B$28=7))&gt;0)*(Signup!$C$4:$C$28=""M""))),"""")"),"Gabriel Nowariak, Ben Surla")</f>
        <v>Gabriel Nowariak, Ben Surla</v>
      </c>
    </row>
    <row r="24" ht="15.75" customHeight="1">
      <c r="A24" s="22" t="s">
        <v>85</v>
      </c>
      <c r="B24" s="23" t="str">
        <f>IFERROR(__xludf.DUMMYFUNCTION("IFERROR(TEXTJOIN("", "",TRUE,FILTER(Signup!$A$4:$A$28,(Signup!$F$4:$F$28=""X"")*(Signup!$B$4:$B$28=8)*(Signup!$C$4:$C$28=""M""))),"""")"),"")</f>
        <v/>
      </c>
    </row>
    <row r="25" ht="15.75" customHeight="1">
      <c r="A25" s="22" t="s">
        <v>86</v>
      </c>
      <c r="B25" s="23" t="str">
        <f>IFERROR(__xludf.DUMMYFUNCTION("IFERROR(TEXTJOIN("", "",TRUE,FILTER(Signup!$A$4:$A$28,(Signup!$F$4:$F$28=""X"")*(Signup!$B$4:$B$28=5)*(Signup!$C$4:$C$28=""F""))),"""")"),"")</f>
        <v/>
      </c>
    </row>
    <row r="26" ht="15.75" customHeight="1">
      <c r="A26" s="22" t="s">
        <v>87</v>
      </c>
      <c r="B26" s="23" t="str">
        <f>IFERROR(__xludf.DUMMYFUNCTION("IFERROR(TEXTJOIN("", "",TRUE,FILTER(Signup!$A$4:$A$28,(Signup!$F$4:$F$28=""X"")*(Signup!$B$4:$B$28=5)*(Signup!$C$4:$C$28=""M""))),"""")"),"")</f>
        <v/>
      </c>
    </row>
    <row r="27" ht="15.75" customHeight="1"/>
    <row r="28" ht="15.75" customHeight="1">
      <c r="A28" s="21" t="s">
        <v>90</v>
      </c>
      <c r="B28" s="9"/>
    </row>
    <row r="29" ht="15.75" customHeight="1">
      <c r="A29" s="22" t="s">
        <v>82</v>
      </c>
      <c r="B29" s="23" t="str">
        <f>IFERROR(__xludf.DUMMYFUNCTION("IFERROR(TEXTJOIN("", "",TRUE,FILTER(Signup!$A$4:$A$28,(Signup!$G$4:$G$28=""X"")*(((Signup!$B$4:$B$28=6)+(Signup!$B$4:$B$28=7))&gt;0)*(Signup!$C$4:$C$28=""F""))),"""")"),"")</f>
        <v/>
      </c>
    </row>
    <row r="30" ht="15.75" customHeight="1">
      <c r="A30" s="22" t="s">
        <v>83</v>
      </c>
      <c r="B30" s="23" t="str">
        <f>IFERROR(__xludf.DUMMYFUNCTION("IFERROR(TEXTJOIN("", "",TRUE,FILTER(Signup!$A$4:$A$28,(Signup!$G$4:$G$28=""X"")*(Signup!$B$4:$B$28=8)*(Signup!$C$4:$C$28=""F""))),"""")"),"Sage Houdek")</f>
        <v>Sage Houdek</v>
      </c>
    </row>
    <row r="31" ht="15.75" customHeight="1">
      <c r="A31" s="22" t="s">
        <v>84</v>
      </c>
      <c r="B31" s="23" t="str">
        <f>IFERROR(__xludf.DUMMYFUNCTION("IFERROR(TEXTJOIN("", "",TRUE,FILTER(Signup!$A$4:$A$28,(Signup!$G$4:$G$28=""X"")*(((Signup!$B$4:$B$28=6)+(Signup!$B$4:$B$28=7))&gt;0)*(Signup!$C$4:$C$28=""M""))),"""")"),"")</f>
        <v/>
      </c>
    </row>
    <row r="32" ht="15.75" customHeight="1">
      <c r="A32" s="22" t="s">
        <v>85</v>
      </c>
      <c r="B32" s="23" t="str">
        <f>IFERROR(__xludf.DUMMYFUNCTION("IFERROR(TEXTJOIN("", "",TRUE,FILTER(Signup!$A$4:$A$28,(Signup!$G$4:$G$28=""X"")*(Signup!$B$4:$B$28=8)*(Signup!$C$4:$C$28=""M""))),"""")"),"")</f>
        <v/>
      </c>
    </row>
    <row r="33" ht="15.75" customHeight="1">
      <c r="A33" s="22" t="s">
        <v>86</v>
      </c>
      <c r="B33" s="23" t="str">
        <f>IFERROR(__xludf.DUMMYFUNCTION("IFERROR(TEXTJOIN("", "",TRUE,FILTER(Signup!$A$4:$A$28,(Signup!$G$4:$G$28=""X"")*(Signup!$B$4:$B$28=5)*(Signup!$C$4:$C$28=""F""))),"""")"),"")</f>
        <v/>
      </c>
    </row>
    <row r="34" ht="15.75" customHeight="1">
      <c r="A34" s="22" t="s">
        <v>87</v>
      </c>
      <c r="B34" s="23" t="str">
        <f>IFERROR(__xludf.DUMMYFUNCTION("IFERROR(TEXTJOIN("", "",TRUE,FILTER(Signup!$A$4:$A$28,(Signup!$G$4:$G$28=""X"")*(Signup!$B$4:$B$28=5)*(Signup!$C$4:$C$28=""M""))),"""")"),"")</f>
        <v/>
      </c>
    </row>
    <row r="35" ht="15.75" customHeight="1"/>
    <row r="36" ht="15.75" customHeight="1">
      <c r="A36" s="21" t="s">
        <v>91</v>
      </c>
      <c r="B36" s="9"/>
    </row>
    <row r="37" ht="15.75" customHeight="1">
      <c r="A37" s="22" t="s">
        <v>92</v>
      </c>
      <c r="B37" s="23" t="str">
        <f>IFERROR(__xludf.DUMMYFUNCTION("IFERROR(TEXTJOIN("", "",TRUE,FILTER(Signup!$A$4:$A$28,Signup!$H$4:$H$28=""A"")),"""")"),"Keva Bowron, Vienna Haas, Annika Peterson")</f>
        <v>Keva Bowron, Vienna Haas, Annika Peterson</v>
      </c>
    </row>
    <row r="38" ht="15.75" customHeight="1">
      <c r="A38" s="22" t="s">
        <v>93</v>
      </c>
      <c r="B38" s="23" t="str">
        <f>IFERROR(__xludf.DUMMYFUNCTION("IFERROR(TEXTJOIN("", "",TRUE,FILTER(Signup!$A$4:$A$28,Signup!$H$4:$H$28=""B"")),"""")"),"Kai Dinger, Ari Klapperich-Khuu, Isaac Wilson")</f>
        <v>Kai Dinger, Ari Klapperich-Khuu, Isaac Wilson</v>
      </c>
    </row>
    <row r="39" ht="15.75" customHeight="1">
      <c r="A39" s="22" t="s">
        <v>94</v>
      </c>
      <c r="B39" s="23" t="str">
        <f>IFERROR(__xludf.DUMMYFUNCTION("IFERROR(TEXTJOIN("", "",TRUE,FILTER(Signup!$A$4:$A$28,Signup!$H$4:$H$28=""C"")),"""")"),"Elyse Folbrecht, Amelia Roddy, Perrin Light-Haberstroh, Alex Ebinger")</f>
        <v>Elyse Folbrecht, Amelia Roddy, Perrin Light-Haberstroh, Alex Ebinger</v>
      </c>
    </row>
    <row r="40" ht="15.75" customHeight="1">
      <c r="A40" s="22" t="s">
        <v>95</v>
      </c>
      <c r="B40" s="23" t="str">
        <f>IFERROR(__xludf.DUMMYFUNCTION("IFERROR(TEXTJOIN("", "",TRUE,FILTER(Signup!$A$4:$A$28,Signup!$H$4:$H$28=""D"")),"""")"),"")</f>
        <v/>
      </c>
    </row>
    <row r="41" ht="15.75" customHeight="1"/>
    <row r="42" ht="15.75" customHeight="1">
      <c r="A42" s="21" t="s">
        <v>96</v>
      </c>
      <c r="B42" s="9"/>
    </row>
    <row r="43" ht="15.75" customHeight="1">
      <c r="A43" s="22" t="s">
        <v>82</v>
      </c>
      <c r="B43" s="23" t="str">
        <f>IFERROR(__xludf.DUMMYFUNCTION("IFERROR(TEXTJOIN("", "",TRUE,FILTER(Signup!$A$4:$A$28,(Signup!$I$4:$I$28=""X"")*(((Signup!$B$4:$B$28=6)+(Signup!$B$4:$B$28=7))&gt;0)*(Signup!$C$4:$C$28=""F""))),"""")"),"Keva Bowron")</f>
        <v>Keva Bowron</v>
      </c>
    </row>
    <row r="44" ht="15.75" customHeight="1">
      <c r="A44" s="22" t="s">
        <v>83</v>
      </c>
      <c r="B44" s="23" t="str">
        <f>IFERROR(__xludf.DUMMYFUNCTION("IFERROR(TEXTJOIN("", "",TRUE,FILTER(Signup!$A$4:$A$28,(Signup!$I$4:$I$28=""X"")*(Signup!$B$4:$B$28=8)*(Signup!$C$4:$C$28=""F""))),"""")"),"Sage Houdek")</f>
        <v>Sage Houdek</v>
      </c>
    </row>
    <row r="45" ht="15.75" customHeight="1">
      <c r="A45" s="22" t="s">
        <v>84</v>
      </c>
      <c r="B45" s="23" t="str">
        <f>IFERROR(__xludf.DUMMYFUNCTION("IFERROR(TEXTJOIN("", "",TRUE,FILTER(Signup!$A$4:$A$28,(Signup!$I$4:$I$28=""X"")*(((Signup!$B$4:$B$28=6)+(Signup!$B$4:$B$28=7))&gt;0)*(Signup!$C$4:$C$28=""M""))),"""")"),"Kai Dinger, Remy Fortin, Gabriel Nowariak, Arya Sanaka, Caleb Wilson, Perrin Light-Haberstroh")</f>
        <v>Kai Dinger, Remy Fortin, Gabriel Nowariak, Arya Sanaka, Caleb Wilson, Perrin Light-Haberstroh</v>
      </c>
    </row>
    <row r="46" ht="15.75" customHeight="1">
      <c r="A46" s="22" t="s">
        <v>85</v>
      </c>
      <c r="B46" s="23" t="str">
        <f>IFERROR(__xludf.DUMMYFUNCTION("IFERROR(TEXTJOIN("", "",TRUE,FILTER(Signup!$A$4:$A$28,(Signup!$I$4:$I$28=""X"")*(Signup!$B$4:$B$28=8)*(Signup!$C$4:$C$28=""M""))),"""")"),"Jin Trenh")</f>
        <v>Jin Trenh</v>
      </c>
    </row>
    <row r="47" ht="15.75" customHeight="1">
      <c r="A47" s="22" t="s">
        <v>86</v>
      </c>
      <c r="B47" s="23" t="str">
        <f>IFERROR(__xludf.DUMMYFUNCTION("IFERROR(TEXTJOIN("", "",TRUE,FILTER(Signup!$A$4:$A$28,(Signup!$I$4:$I$28=""X"")*(Signup!$B$4:$B$28=5)*(Signup!$C$4:$C$28=""F""))),"""")"),"")</f>
        <v/>
      </c>
    </row>
    <row r="48" ht="15.75" customHeight="1">
      <c r="A48" s="22" t="s">
        <v>87</v>
      </c>
      <c r="B48" s="23" t="str">
        <f>IFERROR(__xludf.DUMMYFUNCTION("IFERROR(TEXTJOIN("", "",TRUE,FILTER(Signup!$A$4:$A$28,(Signup!$I$4:$I$28=""X"")*(Signup!$B$4:$B$28=5)*(Signup!$C$4:$C$28=""M""))),"""")"),"")</f>
        <v/>
      </c>
    </row>
    <row r="49" ht="15.75" customHeight="1"/>
    <row r="50" ht="15.75" customHeight="1">
      <c r="A50" s="21" t="s">
        <v>97</v>
      </c>
      <c r="B50" s="9"/>
    </row>
    <row r="51" ht="15.75" customHeight="1">
      <c r="A51" s="22" t="s">
        <v>82</v>
      </c>
      <c r="B51" s="23" t="str">
        <f>IFERROR(__xludf.DUMMYFUNCTION("IFERROR(TEXTJOIN("", "",TRUE,FILTER(Signup!$A$4:$A$28,(Signup!$J$4:$J$28=""X"")*(((Signup!$B$4:$B$28=6)+(Signup!$B$4:$B$28=7))&gt;0)*(Signup!$C$4:$C$28=""F""))),"""")"),"Annika Peterson")</f>
        <v>Annika Peterson</v>
      </c>
    </row>
    <row r="52" ht="15.75" customHeight="1">
      <c r="A52" s="22" t="s">
        <v>83</v>
      </c>
      <c r="B52" s="23" t="str">
        <f>IFERROR(__xludf.DUMMYFUNCTION("IFERROR(TEXTJOIN("", "",TRUE,FILTER(Signup!$A$4:$A$28,(Signup!$J$4:$J$28=""X"")*(Signup!$B$4:$B$28=8)*(Signup!$C$4:$C$28=""F""))),"""")"),"")</f>
        <v/>
      </c>
    </row>
    <row r="53" ht="15.75" customHeight="1">
      <c r="A53" s="22" t="s">
        <v>84</v>
      </c>
      <c r="B53" s="23" t="str">
        <f>IFERROR(__xludf.DUMMYFUNCTION("IFERROR(TEXTJOIN("", "",TRUE,FILTER(Signup!$A$4:$A$28,(Signup!$J$4:$J$28=""X"")*(((Signup!$B$4:$B$28=6)+(Signup!$B$4:$B$28=7))&gt;0)*(Signup!$C$4:$C$28=""M""))),"""")"),"Reuben Addington, Louis Ryan, Ben Surla, Caleb Wilson")</f>
        <v>Reuben Addington, Louis Ryan, Ben Surla, Caleb Wilson</v>
      </c>
    </row>
    <row r="54" ht="15.75" customHeight="1">
      <c r="A54" s="22" t="s">
        <v>85</v>
      </c>
      <c r="B54" s="23" t="str">
        <f>IFERROR(__xludf.DUMMYFUNCTION("IFERROR(TEXTJOIN("", "",TRUE,FILTER(Signup!$A$4:$A$28,(Signup!$J$4:$J$28=""X"")*(Signup!$B$4:$B$28=8)*(Signup!$C$4:$C$28=""M""))),"""")"),"")</f>
        <v/>
      </c>
    </row>
    <row r="55" ht="15.75" customHeight="1">
      <c r="A55" s="22" t="s">
        <v>86</v>
      </c>
      <c r="B55" s="23" t="str">
        <f>IFERROR(__xludf.DUMMYFUNCTION("IFERROR(TEXTJOIN("", "",TRUE,FILTER(Signup!$A$4:$A$28,(Signup!$J$4:$J$28=""X"")*(Signup!$B$4:$B$28=5)*(Signup!$C$4:$C$28=""F""))),"""")"),"")</f>
        <v/>
      </c>
    </row>
    <row r="56" ht="15.75" customHeight="1">
      <c r="A56" s="22" t="s">
        <v>87</v>
      </c>
      <c r="B56" s="23" t="str">
        <f>IFERROR(__xludf.DUMMYFUNCTION("IFERROR(TEXTJOIN("", "",TRUE,FILTER(Signup!$A$4:$A$28,(Signup!$J$4:$J$28=""X"")*(Signup!$B$4:$B$28=5)*(Signup!$C$4:$C$28=""M""))),"""")"),"")</f>
        <v/>
      </c>
    </row>
    <row r="57" ht="15.75" customHeight="1"/>
    <row r="58" ht="15.75" customHeight="1">
      <c r="A58" s="21" t="s">
        <v>98</v>
      </c>
      <c r="B58" s="9"/>
    </row>
    <row r="59" ht="15.75" customHeight="1">
      <c r="A59" s="22" t="s">
        <v>92</v>
      </c>
      <c r="B59" s="23" t="str">
        <f>IFERROR(__xludf.DUMMYFUNCTION("IFERROR(TEXTJOIN("", "",TRUE,FILTER(Signup!$A$4:$A$28,Signup!$K$4:$K$28=""A"")),"""")"),"Keva Bowron, Vienna Haas, Annika Peterson")</f>
        <v>Keva Bowron, Vienna Haas, Annika Peterson</v>
      </c>
    </row>
    <row r="60" ht="15.75" customHeight="1">
      <c r="A60" s="22" t="s">
        <v>93</v>
      </c>
      <c r="B60" s="23" t="str">
        <f>IFERROR(__xludf.DUMMYFUNCTION("IFERROR(TEXTJOIN("", "",TRUE,FILTER(Signup!$A$4:$A$28,Signup!$K$4:$K$28=""B"")),"""")"),"Kai Dinger, Ari Klapperich-Khuu, Isaac Wilson")</f>
        <v>Kai Dinger, Ari Klapperich-Khuu, Isaac Wilson</v>
      </c>
    </row>
    <row r="61" ht="15.75" customHeight="1">
      <c r="A61" s="22" t="s">
        <v>94</v>
      </c>
      <c r="B61" s="23" t="str">
        <f>IFERROR(__xludf.DUMMYFUNCTION("IFERROR(TEXTJOIN("", "",TRUE,FILTER(Signup!$A$4:$A$28,Signup!$K$4:$K$28=""C"")),"""")"),"")</f>
        <v/>
      </c>
    </row>
    <row r="62" ht="15.75" customHeight="1">
      <c r="A62" s="22" t="s">
        <v>95</v>
      </c>
      <c r="B62" s="23" t="str">
        <f>IFERROR(__xludf.DUMMYFUNCTION("IFERROR(TEXTJOIN("", "",TRUE,FILTER(Signup!$A$4:$A$28,Signup!$K$4:$K$28=""D"")),"""")"),"")</f>
        <v/>
      </c>
    </row>
    <row r="63" ht="15.75" customHeight="1"/>
    <row r="64" ht="15.75" customHeight="1">
      <c r="A64" s="20" t="s">
        <v>99</v>
      </c>
      <c r="B64" s="9"/>
    </row>
    <row r="65" ht="15.75" customHeight="1">
      <c r="A65" s="24" t="s">
        <v>100</v>
      </c>
      <c r="B65" s="9"/>
    </row>
    <row r="66" ht="15.75" customHeight="1">
      <c r="A66" s="22" t="s">
        <v>82</v>
      </c>
      <c r="B66" s="23" t="str">
        <f>IFERROR(__xludf.DUMMYFUNCTION("IFERROR(TEXTJOIN("", "",TRUE,FILTER(Signup!$A$4:$A$28,(Signup!$L$4:$L$28=""X"")*(((Signup!$B$4:$B$28=6)+(Signup!$B$4:$B$28=7))&gt;0)*(Signup!$C$4:$C$28=""F""))),"""")"),"")</f>
        <v/>
      </c>
    </row>
    <row r="67" ht="15.75" customHeight="1">
      <c r="A67" s="22" t="s">
        <v>83</v>
      </c>
      <c r="B67" s="23" t="str">
        <f>IFERROR(__xludf.DUMMYFUNCTION("IFERROR(TEXTJOIN("", "",TRUE,FILTER(Signup!$A$4:$A$28,(Signup!$L$4:$L$28=""X"")*(Signup!$B$4:$B$28=8)*(Signup!$C$4:$C$28=""F""))),"""")"),"")</f>
        <v/>
      </c>
    </row>
    <row r="68" ht="15.75" customHeight="1">
      <c r="A68" s="22" t="s">
        <v>84</v>
      </c>
      <c r="B68" s="23" t="str">
        <f>IFERROR(__xludf.DUMMYFUNCTION("IFERROR(TEXTJOIN("", "",TRUE,FILTER(Signup!$A$4:$A$28,(Signup!$L$4:$L$28=""X"")*(((Signup!$B$4:$B$28=6)+(Signup!$B$4:$B$28=7))&gt;0)*(Signup!$C$4:$C$28=""M""))),"""")"),"Arya Sanaka")</f>
        <v>Arya Sanaka</v>
      </c>
    </row>
    <row r="69" ht="15.75" customHeight="1">
      <c r="A69" s="22" t="s">
        <v>85</v>
      </c>
      <c r="B69" s="23" t="str">
        <f>IFERROR(__xludf.DUMMYFUNCTION("IFERROR(TEXTJOIN("", "",TRUE,FILTER(Signup!$A$4:$A$28,(Signup!$L$4:$L$28=""X"")*(Signup!$B$4:$B$28=8)*(Signup!$C$4:$C$28=""M""))),"""")"),"")</f>
        <v/>
      </c>
    </row>
    <row r="70" ht="15.75" customHeight="1">
      <c r="A70" s="22" t="s">
        <v>86</v>
      </c>
      <c r="B70" s="23" t="str">
        <f>IFERROR(__xludf.DUMMYFUNCTION("IFERROR(TEXTJOIN("", "",TRUE,FILTER(Signup!$A$4:$A$28,(Signup!$L$4:$L$28=""X"")*(Signup!$B$4:$B$28=5)*(Signup!$C$4:$C$28=""F""))),"""")"),"")</f>
        <v/>
      </c>
    </row>
    <row r="71" ht="15.75" customHeight="1">
      <c r="A71" s="22" t="s">
        <v>87</v>
      </c>
      <c r="B71" s="23" t="str">
        <f>IFERROR(__xludf.DUMMYFUNCTION("IFERROR(TEXTJOIN("", "",TRUE,FILTER(Signup!$A$4:$A$28,(Signup!$L$4:$L$28=""X"")*(Signup!$B$4:$B$28=5)*(Signup!$C$4:$C$28=""M""))),"""")"),"")</f>
        <v/>
      </c>
    </row>
    <row r="72" ht="15.75" customHeight="1"/>
    <row r="73" ht="15.75" customHeight="1">
      <c r="A73" s="24" t="s">
        <v>101</v>
      </c>
      <c r="B73" s="9"/>
    </row>
    <row r="74" ht="15.75" customHeight="1">
      <c r="A74" s="22" t="s">
        <v>82</v>
      </c>
      <c r="B74" s="23" t="str">
        <f>IFERROR(__xludf.DUMMYFUNCTION("IFERROR(TEXTJOIN("", "",TRUE,FILTER(Signup!$A$4:$A$28,(Signup!$M$4:$M$28=""X"")*(((Signup!$B$4:$B$28=6)+(Signup!$B$4:$B$28=7))&gt;0)*(Signup!$C$4:$C$28=""F""))),"""")"),"Annika Peterson, Audrey Roffe")</f>
        <v>Annika Peterson, Audrey Roffe</v>
      </c>
    </row>
    <row r="75" ht="15.75" customHeight="1">
      <c r="A75" s="22" t="s">
        <v>83</v>
      </c>
      <c r="B75" s="23" t="str">
        <f>IFERROR(__xludf.DUMMYFUNCTION("IFERROR(TEXTJOIN("", "",TRUE,FILTER(Signup!$A$4:$A$28,(Signup!$M$4:$M$28=""X"")*(Signup!$B$4:$B$28=8)*(Signup!$C$4:$C$28=""F""))),"""")"),"")</f>
        <v/>
      </c>
    </row>
    <row r="76" ht="15.75" customHeight="1">
      <c r="A76" s="22" t="s">
        <v>84</v>
      </c>
      <c r="B76" s="23" t="str">
        <f>IFERROR(__xludf.DUMMYFUNCTION("IFERROR(TEXTJOIN("", "",TRUE,FILTER(Signup!$A$4:$A$28,(Signup!$M$4:$M$28=""X"")*(((Signup!$B$4:$B$28=6)+(Signup!$B$4:$B$28=7))&gt;0)*(Signup!$C$4:$C$28=""M""))),"""")"),"Remy Fortin, Gabriel Nowariak, Arya Sanaka, Perrin Light-Haberstroh")</f>
        <v>Remy Fortin, Gabriel Nowariak, Arya Sanaka, Perrin Light-Haberstroh</v>
      </c>
    </row>
    <row r="77" ht="15.75" customHeight="1">
      <c r="A77" s="22" t="s">
        <v>85</v>
      </c>
      <c r="B77" s="23" t="str">
        <f>IFERROR(__xludf.DUMMYFUNCTION("IFERROR(TEXTJOIN("", "",TRUE,FILTER(Signup!$A$4:$A$28,(Signup!$M$4:$M$28=""X"")*(Signup!$B$4:$B$28=8)*(Signup!$C$4:$C$28=""M""))),"""")"),"")</f>
        <v/>
      </c>
    </row>
    <row r="78" ht="15.75" customHeight="1">
      <c r="A78" s="22" t="s">
        <v>86</v>
      </c>
      <c r="B78" s="23" t="str">
        <f>IFERROR(__xludf.DUMMYFUNCTION("IFERROR(TEXTJOIN("", "",TRUE,FILTER(Signup!$A$4:$A$28,(Signup!$M$4:$M$28=""X"")*(Signup!$B$4:$B$28=5)*(Signup!$C$4:$C$28=""F""))),"""")"),"")</f>
        <v/>
      </c>
    </row>
    <row r="79" ht="15.75" customHeight="1">
      <c r="A79" s="22" t="s">
        <v>87</v>
      </c>
      <c r="B79" s="23" t="str">
        <f>IFERROR(__xludf.DUMMYFUNCTION("IFERROR(TEXTJOIN("", "",TRUE,FILTER(Signup!$A$4:$A$28,(Signup!$M$4:$M$28=""X"")*(Signup!$B$4:$B$28=5)*(Signup!$C$4:$C$28=""M""))),"""")"),"")</f>
        <v/>
      </c>
    </row>
    <row r="80" ht="15.75" customHeight="1"/>
    <row r="81" ht="15.75" customHeight="1">
      <c r="A81" s="24" t="s">
        <v>102</v>
      </c>
      <c r="B81" s="9"/>
    </row>
    <row r="82" ht="15.75" customHeight="1">
      <c r="A82" s="22" t="s">
        <v>82</v>
      </c>
      <c r="B82" s="23" t="str">
        <f>IFERROR(__xludf.DUMMYFUNCTION("IFERROR(TEXTJOIN("", "",TRUE,FILTER(Signup!$A$4:$A$28,(Signup!$N$4:$N$28=""X"")*(((Signup!$B$4:$B$28=6)+(Signup!$B$4:$B$28=7))&gt;0)*(Signup!$C$4:$C$28=""F""))),"""")"),"Elyse Folbrecht")</f>
        <v>Elyse Folbrecht</v>
      </c>
    </row>
    <row r="83" ht="15.75" customHeight="1">
      <c r="A83" s="22" t="s">
        <v>83</v>
      </c>
      <c r="B83" s="23" t="str">
        <f>IFERROR(__xludf.DUMMYFUNCTION("IFERROR(TEXTJOIN("", "",TRUE,FILTER(Signup!$A$4:$A$28,(Signup!$N$4:$N$28=""X"")*(Signup!$B$4:$B$28=8)*(Signup!$C$4:$C$28=""F""))),"""")"),"")</f>
        <v/>
      </c>
    </row>
    <row r="84" ht="15.75" customHeight="1">
      <c r="A84" s="22" t="s">
        <v>84</v>
      </c>
      <c r="B84" s="23" t="str">
        <f>IFERROR(__xludf.DUMMYFUNCTION("IFERROR(TEXTJOIN("", "",TRUE,FILTER(Signup!$A$4:$A$28,(Signup!$N$4:$N$28=""X"")*(((Signup!$B$4:$B$28=6)+(Signup!$B$4:$B$28=7))&gt;0)*(Signup!$C$4:$C$28=""M""))),"""")"),"Reuben Addington")</f>
        <v>Reuben Addington</v>
      </c>
    </row>
    <row r="85" ht="15.75" customHeight="1">
      <c r="A85" s="22" t="s">
        <v>85</v>
      </c>
      <c r="B85" s="23" t="str">
        <f>IFERROR(__xludf.DUMMYFUNCTION("IFERROR(TEXTJOIN("", "",TRUE,FILTER(Signup!$A$4:$A$28,(Signup!$N$4:$N$28=""X"")*(Signup!$B$4:$B$28=8)*(Signup!$C$4:$C$28=""M""))),"""")"),"")</f>
        <v/>
      </c>
    </row>
    <row r="86" ht="15.75" customHeight="1">
      <c r="A86" s="22" t="s">
        <v>86</v>
      </c>
      <c r="B86" s="23" t="str">
        <f>IFERROR(__xludf.DUMMYFUNCTION("IFERROR(TEXTJOIN("", "",TRUE,FILTER(Signup!$A$4:$A$28,(Signup!$N$4:$N$28=""X"")*(Signup!$B$4:$B$28=5)*(Signup!$C$4:$C$28=""F""))),"""")"),"")</f>
        <v/>
      </c>
    </row>
    <row r="87" ht="15.75" customHeight="1">
      <c r="A87" s="22" t="s">
        <v>87</v>
      </c>
      <c r="B87" s="23" t="str">
        <f>IFERROR(__xludf.DUMMYFUNCTION("IFERROR(TEXTJOIN("", "",TRUE,FILTER(Signup!$A$4:$A$28,(Signup!$N$4:$N$28=""X"")*(Signup!$B$4:$B$28=5)*(Signup!$C$4:$C$28=""M""))),"""")"),"")</f>
        <v/>
      </c>
    </row>
    <row r="88" ht="15.75" customHeight="1"/>
    <row r="89" ht="15.75" customHeight="1">
      <c r="A89" s="24" t="s">
        <v>103</v>
      </c>
      <c r="B89" s="9"/>
    </row>
    <row r="90" ht="15.75" customHeight="1">
      <c r="A90" s="22" t="s">
        <v>82</v>
      </c>
      <c r="B90" s="23" t="str">
        <f>IFERROR(__xludf.DUMMYFUNCTION("IFERROR(TEXTJOIN("", "",TRUE,FILTER(Signup!$A$4:$A$28,(Signup!$O$4:$O$28=""X"")*(((Signup!$B$4:$B$28=6)+(Signup!$B$4:$B$28=7))&gt;0)*(Signup!$C$4:$C$28=""F""))),"""")"),"Elyse Folbrecht, Vienna Haas")</f>
        <v>Elyse Folbrecht, Vienna Haas</v>
      </c>
    </row>
    <row r="91" ht="15.75" customHeight="1">
      <c r="A91" s="22" t="s">
        <v>83</v>
      </c>
      <c r="B91" s="23" t="str">
        <f>IFERROR(__xludf.DUMMYFUNCTION("IFERROR(TEXTJOIN("", "",TRUE,FILTER(Signup!$A$4:$A$28,(Signup!$O$4:$O$28=""X"")*(Signup!$B$4:$B$28=8)*(Signup!$C$4:$C$28=""F""))),"""")"),"")</f>
        <v/>
      </c>
    </row>
    <row r="92" ht="15.75" customHeight="1">
      <c r="A92" s="22" t="s">
        <v>84</v>
      </c>
      <c r="B92" s="23" t="str">
        <f>IFERROR(__xludf.DUMMYFUNCTION("IFERROR(TEXTJOIN("", "",TRUE,FILTER(Signup!$A$4:$A$28,(Signup!$O$4:$O$28=""X"")*(((Signup!$B$4:$B$28=6)+(Signup!$B$4:$B$28=7))&gt;0)*(Signup!$C$4:$C$28=""M""))),"""")"),"Reuben Addington, Gabriel Nowariak, Louis Ryan, Caleb Wilson")</f>
        <v>Reuben Addington, Gabriel Nowariak, Louis Ryan, Caleb Wilson</v>
      </c>
    </row>
    <row r="93" ht="15.75" customHeight="1">
      <c r="A93" s="22" t="s">
        <v>85</v>
      </c>
      <c r="B93" s="23" t="str">
        <f>IFERROR(__xludf.DUMMYFUNCTION("IFERROR(TEXTJOIN("", "",TRUE,FILTER(Signup!$A$4:$A$28,(Signup!$O$4:$O$28=""X"")*(Signup!$B$4:$B$28=8)*(Signup!$C$4:$C$28=""M""))),"""")"),"")</f>
        <v/>
      </c>
    </row>
    <row r="94" ht="15.75" customHeight="1">
      <c r="A94" s="22" t="s">
        <v>86</v>
      </c>
      <c r="B94" s="23" t="str">
        <f>IFERROR(__xludf.DUMMYFUNCTION("IFERROR(TEXTJOIN("", "",TRUE,FILTER(Signup!$A$4:$A$28,(Signup!$O$4:$O$28=""X"")*(Signup!$B$4:$B$28=5)*(Signup!$C$4:$C$28=""F""))),"""")"),"")</f>
        <v/>
      </c>
    </row>
    <row r="95" ht="15.75" customHeight="1">
      <c r="A95" s="22" t="s">
        <v>87</v>
      </c>
      <c r="B95" s="23" t="str">
        <f>IFERROR(__xludf.DUMMYFUNCTION("IFERROR(TEXTJOIN("", "",TRUE,FILTER(Signup!$A$4:$A$28,(Signup!$O$4:$O$28=""X"")*(Signup!$B$4:$B$28=5)*(Signup!$C$4:$C$28=""M""))),"""")"),"")</f>
        <v/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2:B42"/>
    <mergeCell ref="A50:B50"/>
    <mergeCell ref="A58:B58"/>
    <mergeCell ref="A64:B64"/>
    <mergeCell ref="A65:B65"/>
    <mergeCell ref="A73:B73"/>
    <mergeCell ref="A81:B81"/>
    <mergeCell ref="A89:B89"/>
    <mergeCell ref="A1:B1"/>
    <mergeCell ref="A3:B3"/>
    <mergeCell ref="A4:B4"/>
    <mergeCell ref="A12:B12"/>
    <mergeCell ref="A20:B20"/>
    <mergeCell ref="A28:B28"/>
    <mergeCell ref="A36:B3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2026-05-12T13:32:22Z</dcterms:created>
  <dc:creator>openpyxl</dc:creator>
</cp:coreProperties>
</file>