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Instructions" sheetId="1" state="visible" r:id="rId1"/>
    <sheet name="Roster" sheetId="2" state="visible" r:id="rId2"/>
    <sheet name="Signup" sheetId="3" state="visible" r:id="rId3"/>
    <sheet name="By Even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11"/>
    </font>
    <font>
      <b val="1"/>
      <sz val="12"/>
    </font>
    <font>
      <sz val="10"/>
    </font>
    <font>
      <b val="1"/>
      <sz val="11"/>
    </font>
    <font>
      <b val="1"/>
      <sz val="10"/>
    </font>
    <font>
      <b val="1"/>
      <color rgb="00FFFFFF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00790E1D"/>
      </patternFill>
    </fill>
    <fill>
      <patternFill patternType="solid">
        <fgColor rgb="00FFD700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5F5F5"/>
      </patternFill>
    </fill>
    <fill>
      <patternFill patternType="solid">
        <fgColor rgb="002B6CB0"/>
      </patternFill>
    </fill>
    <fill>
      <patternFill patternType="solid">
        <fgColor rgb="00D69E2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indent="2"/>
    </xf>
    <xf numFmtId="0" fontId="0" fillId="0" borderId="1" applyAlignment="1" pivotButton="0" quotePrefix="0" xfId="0">
      <alignment horizontal="left" vertical="center" wrapText="1"/>
    </xf>
    <xf numFmtId="0" fontId="7" fillId="8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b val="1"/>
        <color rgb="00C62828"/>
      </font>
      <fill>
        <patternFill patternType="solid">
          <fgColor rgb="00FFCDD2"/>
        </patternFill>
      </fill>
    </dxf>
    <dxf>
      <font>
        <b val="1"/>
        <color rgb="008A6D00"/>
      </font>
      <fill>
        <patternFill patternType="solid">
          <fgColor rgb="00FFF3CD"/>
        </patternFill>
      </fill>
    </dxf>
    <dxf>
      <font>
        <b val="1"/>
        <color rgb="002E7D32"/>
      </font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YA Track</author>
  </authors>
  <commentList>
    <comment ref="D3" authorId="0" shapeId="0">
      <text>
        <t>100m Low Hurdles</t>
      </text>
    </comment>
    <comment ref="E3" authorId="0" shapeId="0">
      <text>
        <t>100m Dash</t>
      </text>
    </comment>
    <comment ref="F3" authorId="0" shapeId="0">
      <text>
        <t>1600m Run</t>
      </text>
    </comment>
    <comment ref="G3" authorId="0" shapeId="0">
      <text>
        <t>400m Dash</t>
      </text>
    </comment>
    <comment ref="H3" authorId="0" shapeId="0">
      <text>
        <t>4x100m Relay</t>
      </text>
    </comment>
    <comment ref="I3" authorId="0" shapeId="0">
      <text>
        <t>200m Dash</t>
      </text>
    </comment>
    <comment ref="J3" authorId="0" shapeId="0">
      <text>
        <t>800m Run</t>
      </text>
    </comment>
    <comment ref="K3" authorId="0" shapeId="0">
      <text>
        <t>Sprint Medley Relay (100-100-200-400)</t>
      </text>
    </comment>
    <comment ref="L3" authorId="0" shapeId="0">
      <text>
        <t>High Jump</t>
      </text>
    </comment>
    <comment ref="M3" authorId="0" shapeId="0">
      <text>
        <t>Long Jump</t>
      </text>
    </comment>
    <comment ref="N3" authorId="0" shapeId="0">
      <text>
        <t>Shot Put (4 kg)</t>
      </text>
    </comment>
    <comment ref="O3" authorId="0" shapeId="0">
      <text>
        <t>Discus (HS girls)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Yinghua Track — Prior Lake Meet Event Signup</t>
        </is>
      </c>
    </row>
    <row r="2">
      <c r="A2" s="2" t="inlineStr"/>
    </row>
    <row r="3">
      <c r="A3" s="3" t="inlineStr">
        <is>
          <t>Wednesday, May 13, 2026 · 4:15 PM at Prior Lake HS · Grades 6–8 (6th may run 7th-grade events)</t>
        </is>
      </c>
    </row>
    <row r="4">
      <c r="A4" s="2" t="inlineStr"/>
    </row>
    <row r="5">
      <c r="A5" s="4" t="inlineStr">
        <is>
          <t>How to use</t>
        </is>
      </c>
    </row>
    <row r="6">
      <c r="A6" s="5" t="inlineStr">
        <is>
          <t xml:space="preserve">  1. ROSTER tab — pre-filtered to athletes who said YES on the parent attendance form.</t>
        </is>
      </c>
    </row>
    <row r="7">
      <c r="A7" s="5" t="inlineStr">
        <is>
          <t xml:space="preserve">  2. SIGNUP tab — type into the event columns:</t>
        </is>
      </c>
    </row>
    <row r="8">
      <c r="A8" s="5" t="inlineStr">
        <is>
          <t xml:space="preserve">       • X = entered in this individual event</t>
        </is>
      </c>
    </row>
    <row r="9">
      <c r="A9" s="5" t="inlineStr">
        <is>
          <t xml:space="preserve">       • A or B or C or D = relay team letter</t>
        </is>
      </c>
    </row>
    <row r="10">
      <c r="A10" s="5" t="inlineStr">
        <is>
          <t xml:space="preserve">       Leave cells blank if the athlete isn't doing that event.</t>
        </is>
      </c>
    </row>
    <row r="11">
      <c r="A11" s="5" t="inlineStr">
        <is>
          <t xml:space="preserve">  3. Right-side Summary auto-counts and flags any athlete over 4 events.</t>
        </is>
      </c>
    </row>
    <row r="12">
      <c r="A12" s="5" t="inlineStr">
        <is>
          <t xml:space="preserve">  4. BY EVENT tab — auto-populated heat sheet, printable for the meet.</t>
        </is>
      </c>
    </row>
    <row r="13">
      <c r="A13" s="2" t="inlineStr"/>
    </row>
    <row r="14">
      <c r="A14" s="6" t="inlineStr">
        <is>
          <t>Rules</t>
        </is>
      </c>
    </row>
    <row r="15">
      <c r="A15" s="5" t="inlineStr">
        <is>
          <t xml:space="preserve">  • Max 4 events per athlete (combined running + field).</t>
        </is>
      </c>
    </row>
    <row r="16">
      <c r="A16" s="2" t="inlineStr"/>
    </row>
    <row r="17">
      <c r="A17" s="5" t="inlineStr">
        <is>
          <t xml:space="preserve">  • Heats run by grade level. Sixth graders can compete in 7th-grade events.</t>
        </is>
      </c>
    </row>
    <row r="18">
      <c r="A18" s="5" t="inlineStr">
        <is>
          <t xml:space="preserve">  • Teams must bring their own discus / shot put and relay batons.</t>
        </is>
      </c>
    </row>
    <row r="19">
      <c r="A19" s="5" t="inlineStr">
        <is>
          <t xml:space="preserve">  • Running events: rolling start at 4:15 PM. Field events start ~4:00 PM (athletes plan jumps/throws around races).</t>
        </is>
      </c>
    </row>
    <row r="20">
      <c r="A20" s="5" t="inlineStr">
        <is>
          <t xml:space="preserve">  • Meet is NOT scored. Hand-timed. Each athlete reports their time/mark to coaches.</t>
        </is>
      </c>
    </row>
    <row r="21">
      <c r="A21" s="5" t="inlineStr">
        <is>
          <t xml:space="preserve">  • Teams attending: Lakeville North, Lakeville South, Northfield, Yinghua Academy.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8" customWidth="1" min="3" max="3"/>
  </cols>
  <sheetData>
    <row r="1" ht="22" customHeight="1">
      <c r="A1" s="7" t="inlineStr">
        <is>
          <t>Roster — 22 athletes attending Prior Lake Meet</t>
        </is>
      </c>
    </row>
    <row r="2">
      <c r="A2" s="8" t="inlineStr">
        <is>
          <t>Name</t>
        </is>
      </c>
      <c r="B2" s="8" t="inlineStr">
        <is>
          <t>Grade</t>
        </is>
      </c>
      <c r="C2" s="8" t="inlineStr">
        <is>
          <t>Gender</t>
        </is>
      </c>
    </row>
    <row r="3">
      <c r="A3" s="9" t="inlineStr">
        <is>
          <t>Reuben Addington</t>
        </is>
      </c>
      <c r="B3" s="10" t="n">
        <v>6</v>
      </c>
      <c r="C3" s="10" t="inlineStr">
        <is>
          <t>M</t>
        </is>
      </c>
    </row>
    <row r="4">
      <c r="A4" s="9" t="inlineStr">
        <is>
          <t>Keva Bowron</t>
        </is>
      </c>
      <c r="B4" s="10" t="n">
        <v>7</v>
      </c>
      <c r="C4" s="10" t="inlineStr">
        <is>
          <t>F</t>
        </is>
      </c>
    </row>
    <row r="5">
      <c r="A5" s="9" t="inlineStr">
        <is>
          <t>Kai Dinger</t>
        </is>
      </c>
      <c r="B5" s="10" t="n">
        <v>7</v>
      </c>
      <c r="C5" s="10" t="inlineStr">
        <is>
          <t>M</t>
        </is>
      </c>
    </row>
    <row r="6">
      <c r="A6" s="9" t="inlineStr">
        <is>
          <t>Alexandra Ebinger</t>
        </is>
      </c>
      <c r="B6" s="10" t="n">
        <v>6</v>
      </c>
      <c r="C6" s="10" t="inlineStr">
        <is>
          <t>F</t>
        </is>
      </c>
    </row>
    <row r="7">
      <c r="A7" s="9" t="inlineStr">
        <is>
          <t>Elyse Folbrecht</t>
        </is>
      </c>
      <c r="B7" s="10" t="n">
        <v>6</v>
      </c>
      <c r="C7" s="10" t="inlineStr">
        <is>
          <t>F</t>
        </is>
      </c>
    </row>
    <row r="8">
      <c r="A8" s="9" t="inlineStr">
        <is>
          <t>Remy Fortin</t>
        </is>
      </c>
      <c r="B8" s="10" t="n">
        <v>7</v>
      </c>
      <c r="C8" s="10" t="inlineStr">
        <is>
          <t>M</t>
        </is>
      </c>
    </row>
    <row r="9">
      <c r="A9" s="9" t="inlineStr">
        <is>
          <t>Vienna Haas</t>
        </is>
      </c>
      <c r="B9" s="10" t="n">
        <v>7</v>
      </c>
      <c r="C9" s="10" t="inlineStr">
        <is>
          <t>F</t>
        </is>
      </c>
    </row>
    <row r="10">
      <c r="A10" s="9" t="inlineStr">
        <is>
          <t>Ben Hinrichs</t>
        </is>
      </c>
      <c r="B10" s="10" t="n">
        <v>8</v>
      </c>
      <c r="C10" s="10" t="inlineStr">
        <is>
          <t>M</t>
        </is>
      </c>
    </row>
    <row r="11">
      <c r="A11" s="9" t="inlineStr">
        <is>
          <t>Sage Houdek</t>
        </is>
      </c>
      <c r="B11" s="10" t="n">
        <v>8</v>
      </c>
      <c r="C11" s="10" t="inlineStr">
        <is>
          <t>F</t>
        </is>
      </c>
    </row>
    <row r="12">
      <c r="A12" s="9" t="inlineStr">
        <is>
          <t>Ari Klapperich-Khuu</t>
        </is>
      </c>
      <c r="B12" s="10" t="n">
        <v>7</v>
      </c>
      <c r="C12" s="10" t="inlineStr">
        <is>
          <t>M</t>
        </is>
      </c>
    </row>
    <row r="13">
      <c r="A13" s="9" t="inlineStr">
        <is>
          <t>Marcus Kunc</t>
        </is>
      </c>
      <c r="B13" s="10" t="n">
        <v>6</v>
      </c>
      <c r="C13" s="10" t="inlineStr">
        <is>
          <t>M</t>
        </is>
      </c>
    </row>
    <row r="14">
      <c r="A14" s="9" t="inlineStr">
        <is>
          <t>Mattias Kunc</t>
        </is>
      </c>
      <c r="B14" s="10" t="n">
        <v>8</v>
      </c>
      <c r="C14" s="10" t="inlineStr">
        <is>
          <t>M</t>
        </is>
      </c>
    </row>
    <row r="15">
      <c r="A15" s="9" t="inlineStr">
        <is>
          <t>Gabriel Nowariak</t>
        </is>
      </c>
      <c r="B15" s="10" t="n">
        <v>6</v>
      </c>
      <c r="C15" s="10" t="inlineStr">
        <is>
          <t>M</t>
        </is>
      </c>
    </row>
    <row r="16">
      <c r="A16" s="9" t="inlineStr">
        <is>
          <t>Annika Peterson</t>
        </is>
      </c>
      <c r="B16" s="10" t="n">
        <v>7</v>
      </c>
      <c r="C16" s="10" t="inlineStr">
        <is>
          <t>F</t>
        </is>
      </c>
    </row>
    <row r="17">
      <c r="A17" s="9" t="inlineStr">
        <is>
          <t>Amelia Roddy</t>
        </is>
      </c>
      <c r="B17" s="10" t="n">
        <v>6</v>
      </c>
      <c r="C17" s="10" t="inlineStr">
        <is>
          <t>F</t>
        </is>
      </c>
    </row>
    <row r="18">
      <c r="A18" s="9" t="inlineStr">
        <is>
          <t>Audrey Roffe</t>
        </is>
      </c>
      <c r="B18" s="10" t="n">
        <v>7</v>
      </c>
      <c r="C18" s="10" t="inlineStr">
        <is>
          <t>F</t>
        </is>
      </c>
    </row>
    <row r="19">
      <c r="A19" s="9" t="inlineStr">
        <is>
          <t>Louis Ryan</t>
        </is>
      </c>
      <c r="B19" s="10" t="n">
        <v>7</v>
      </c>
      <c r="C19" s="10" t="inlineStr">
        <is>
          <t>M</t>
        </is>
      </c>
    </row>
    <row r="20">
      <c r="A20" s="9" t="inlineStr">
        <is>
          <t>Arya Sanaka</t>
        </is>
      </c>
      <c r="B20" s="10" t="n">
        <v>7</v>
      </c>
      <c r="C20" s="10" t="inlineStr">
        <is>
          <t>M</t>
        </is>
      </c>
    </row>
    <row r="21">
      <c r="A21" s="9" t="inlineStr">
        <is>
          <t>Ben Surla</t>
        </is>
      </c>
      <c r="B21" s="10" t="n">
        <v>7</v>
      </c>
      <c r="C21" s="10" t="inlineStr">
        <is>
          <t>M</t>
        </is>
      </c>
    </row>
    <row r="22">
      <c r="A22" s="9" t="inlineStr">
        <is>
          <t>Jin Trenh</t>
        </is>
      </c>
      <c r="B22" s="10" t="n">
        <v>8</v>
      </c>
      <c r="C22" s="10" t="inlineStr">
        <is>
          <t>M</t>
        </is>
      </c>
    </row>
    <row r="23">
      <c r="A23" s="9" t="inlineStr">
        <is>
          <t>Caleb Wilson</t>
        </is>
      </c>
      <c r="B23" s="10" t="n">
        <v>7</v>
      </c>
      <c r="C23" s="10" t="inlineStr">
        <is>
          <t>M</t>
        </is>
      </c>
    </row>
    <row r="24">
      <c r="A24" s="9" t="inlineStr">
        <is>
          <t>Isaac Wilson</t>
        </is>
      </c>
      <c r="B24" s="10" t="n">
        <v>7</v>
      </c>
      <c r="C24" s="10" t="inlineStr">
        <is>
          <t>M</t>
        </is>
      </c>
    </row>
    <row r="25">
      <c r="A25" s="9" t="n"/>
      <c r="B25" s="9" t="n"/>
      <c r="C25" s="9" t="n"/>
    </row>
    <row r="26">
      <c r="A26" s="9" t="n"/>
      <c r="B26" s="9" t="n"/>
      <c r="C26" s="9" t="n"/>
    </row>
    <row r="27">
      <c r="A27" s="9" t="n"/>
      <c r="B27" s="9" t="n"/>
      <c r="C27" s="9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9" customWidth="1" min="17" max="17"/>
    <col width="8" customWidth="1" min="18" max="18"/>
    <col width="22" customWidth="1" min="19" max="19"/>
  </cols>
  <sheetData>
    <row r="1" ht="22" customHeight="1">
      <c r="A1" s="7" t="inlineStr">
        <is>
          <t>Prior Lake Meet — Athlete Event Signup</t>
        </is>
      </c>
    </row>
    <row r="2">
      <c r="D2" s="11" t="inlineStr">
        <is>
          <t>RUNNING EVENTS (X, or A/B/C/D for relays)</t>
        </is>
      </c>
      <c r="L2" s="11" t="inlineStr">
        <is>
          <t>FIELD EVENTS (X, or A/B/C/D for relays)</t>
        </is>
      </c>
      <c r="P2" s="11" t="inlineStr">
        <is>
          <t>SUMMARY</t>
        </is>
      </c>
    </row>
    <row r="3">
      <c r="A3" s="8" t="inlineStr">
        <is>
          <t>Name</t>
        </is>
      </c>
      <c r="B3" s="8" t="inlineStr">
        <is>
          <t>Grade</t>
        </is>
      </c>
      <c r="C3" s="8" t="inlineStr">
        <is>
          <t>Gender</t>
        </is>
      </c>
      <c r="D3" s="12" t="inlineStr">
        <is>
          <t>100mH</t>
        </is>
      </c>
      <c r="E3" s="12" t="inlineStr">
        <is>
          <t>100m</t>
        </is>
      </c>
      <c r="F3" s="12" t="inlineStr">
        <is>
          <t>1600m</t>
        </is>
      </c>
      <c r="G3" s="12" t="inlineStr">
        <is>
          <t>400m</t>
        </is>
      </c>
      <c r="H3" s="12" t="inlineStr">
        <is>
          <t>4x100</t>
        </is>
      </c>
      <c r="I3" s="12" t="inlineStr">
        <is>
          <t>200m</t>
        </is>
      </c>
      <c r="J3" s="12" t="inlineStr">
        <is>
          <t>800m</t>
        </is>
      </c>
      <c r="K3" s="12" t="inlineStr">
        <is>
          <t>SMR</t>
        </is>
      </c>
      <c r="L3" s="13" t="inlineStr">
        <is>
          <t>HJ</t>
        </is>
      </c>
      <c r="M3" s="13" t="inlineStr">
        <is>
          <t>LJ</t>
        </is>
      </c>
      <c r="N3" s="13" t="inlineStr">
        <is>
          <t>SP</t>
        </is>
      </c>
      <c r="O3" s="13" t="inlineStr">
        <is>
          <t>DISC</t>
        </is>
      </c>
      <c r="P3" s="14" t="inlineStr">
        <is>
          <t>Run #</t>
        </is>
      </c>
      <c r="Q3" s="14" t="inlineStr">
        <is>
          <t>Field #</t>
        </is>
      </c>
      <c r="R3" s="14" t="inlineStr">
        <is>
          <t>Total</t>
        </is>
      </c>
      <c r="S3" s="14" t="inlineStr">
        <is>
          <t>Valid?</t>
        </is>
      </c>
    </row>
    <row r="4">
      <c r="A4" s="9">
        <f>IF(Roster!A3="","",Roster!A3)</f>
        <v/>
      </c>
      <c r="B4" s="10">
        <f>IF(Roster!B3="","",Roster!B3)</f>
        <v/>
      </c>
      <c r="C4" s="10">
        <f>IF(Roster!C3="","",Roster!C3)</f>
        <v/>
      </c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5">
        <f>IF(A4="","",COUNTA(D4:K4))</f>
        <v/>
      </c>
      <c r="Q4" s="15">
        <f>IF(A4="","",COUNTA(L4:O4))</f>
        <v/>
      </c>
      <c r="R4" s="15">
        <f>IF(A4="","",P4+Q4)</f>
        <v/>
      </c>
      <c r="S4" s="15">
        <f>IF(A4="","",IF(R4=0,"",IF(R4&gt;4,"❌ Over 4 events",IF(AND(R4=4,NOT(OR(AND(P4=3,Q4=1),AND(P4=1,Q4=3)))),"⚠ Must be 3+1 or 1+3","✓ OK"))))</f>
        <v/>
      </c>
    </row>
    <row r="5">
      <c r="A5" s="9">
        <f>IF(Roster!A4="","",Roster!A4)</f>
        <v/>
      </c>
      <c r="B5" s="10">
        <f>IF(Roster!B4="","",Roster!B4)</f>
        <v/>
      </c>
      <c r="C5" s="10">
        <f>IF(Roster!C4="","",Roster!C4)</f>
        <v/>
      </c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5">
        <f>IF(A5="","",COUNTA(D5:K5))</f>
        <v/>
      </c>
      <c r="Q5" s="15">
        <f>IF(A5="","",COUNTA(L5:O5))</f>
        <v/>
      </c>
      <c r="R5" s="15">
        <f>IF(A5="","",P5+Q5)</f>
        <v/>
      </c>
      <c r="S5" s="15">
        <f>IF(A5="","",IF(R5=0,"",IF(R5&gt;4,"❌ Over 4 events",IF(AND(R5=4,NOT(OR(AND(P5=3,Q5=1),AND(P5=1,Q5=3)))),"⚠ Must be 3+1 or 1+3","✓ OK"))))</f>
        <v/>
      </c>
    </row>
    <row r="6">
      <c r="A6" s="9">
        <f>IF(Roster!A5="","",Roster!A5)</f>
        <v/>
      </c>
      <c r="B6" s="10">
        <f>IF(Roster!B5="","",Roster!B5)</f>
        <v/>
      </c>
      <c r="C6" s="10">
        <f>IF(Roster!C5="","",Roster!C5)</f>
        <v/>
      </c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5">
        <f>IF(A6="","",COUNTA(D6:K6))</f>
        <v/>
      </c>
      <c r="Q6" s="15">
        <f>IF(A6="","",COUNTA(L6:O6))</f>
        <v/>
      </c>
      <c r="R6" s="15">
        <f>IF(A6="","",P6+Q6)</f>
        <v/>
      </c>
      <c r="S6" s="15">
        <f>IF(A6="","",IF(R6=0,"",IF(R6&gt;4,"❌ Over 4 events",IF(AND(R6=4,NOT(OR(AND(P6=3,Q6=1),AND(P6=1,Q6=3)))),"⚠ Must be 3+1 or 1+3","✓ OK"))))</f>
        <v/>
      </c>
    </row>
    <row r="7">
      <c r="A7" s="9">
        <f>IF(Roster!A6="","",Roster!A6)</f>
        <v/>
      </c>
      <c r="B7" s="10">
        <f>IF(Roster!B6="","",Roster!B6)</f>
        <v/>
      </c>
      <c r="C7" s="10">
        <f>IF(Roster!C6="","",Roster!C6)</f>
        <v/>
      </c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5">
        <f>IF(A7="","",COUNTA(D7:K7))</f>
        <v/>
      </c>
      <c r="Q7" s="15">
        <f>IF(A7="","",COUNTA(L7:O7))</f>
        <v/>
      </c>
      <c r="R7" s="15">
        <f>IF(A7="","",P7+Q7)</f>
        <v/>
      </c>
      <c r="S7" s="15">
        <f>IF(A7="","",IF(R7=0,"",IF(R7&gt;4,"❌ Over 4 events",IF(AND(R7=4,NOT(OR(AND(P7=3,Q7=1),AND(P7=1,Q7=3)))),"⚠ Must be 3+1 or 1+3","✓ OK"))))</f>
        <v/>
      </c>
    </row>
    <row r="8">
      <c r="A8" s="9">
        <f>IF(Roster!A7="","",Roster!A7)</f>
        <v/>
      </c>
      <c r="B8" s="10">
        <f>IF(Roster!B7="","",Roster!B7)</f>
        <v/>
      </c>
      <c r="C8" s="10">
        <f>IF(Roster!C7="","",Roster!C7)</f>
        <v/>
      </c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5">
        <f>IF(A8="","",COUNTA(D8:K8))</f>
        <v/>
      </c>
      <c r="Q8" s="15">
        <f>IF(A8="","",COUNTA(L8:O8))</f>
        <v/>
      </c>
      <c r="R8" s="15">
        <f>IF(A8="","",P8+Q8)</f>
        <v/>
      </c>
      <c r="S8" s="15">
        <f>IF(A8="","",IF(R8=0,"",IF(R8&gt;4,"❌ Over 4 events",IF(AND(R8=4,NOT(OR(AND(P8=3,Q8=1),AND(P8=1,Q8=3)))),"⚠ Must be 3+1 or 1+3","✓ OK"))))</f>
        <v/>
      </c>
    </row>
    <row r="9">
      <c r="A9" s="9">
        <f>IF(Roster!A8="","",Roster!A8)</f>
        <v/>
      </c>
      <c r="B9" s="10">
        <f>IF(Roster!B8="","",Roster!B8)</f>
        <v/>
      </c>
      <c r="C9" s="10">
        <f>IF(Roster!C8="","",Roster!C8)</f>
        <v/>
      </c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5">
        <f>IF(A9="","",COUNTA(D9:K9))</f>
        <v/>
      </c>
      <c r="Q9" s="15">
        <f>IF(A9="","",COUNTA(L9:O9))</f>
        <v/>
      </c>
      <c r="R9" s="15">
        <f>IF(A9="","",P9+Q9)</f>
        <v/>
      </c>
      <c r="S9" s="15">
        <f>IF(A9="","",IF(R9=0,"",IF(R9&gt;4,"❌ Over 4 events",IF(AND(R9=4,NOT(OR(AND(P9=3,Q9=1),AND(P9=1,Q9=3)))),"⚠ Must be 3+1 or 1+3","✓ OK"))))</f>
        <v/>
      </c>
    </row>
    <row r="10">
      <c r="A10" s="9">
        <f>IF(Roster!A9="","",Roster!A9)</f>
        <v/>
      </c>
      <c r="B10" s="10">
        <f>IF(Roster!B9="","",Roster!B9)</f>
        <v/>
      </c>
      <c r="C10" s="10">
        <f>IF(Roster!C9="","",Roster!C9)</f>
        <v/>
      </c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5">
        <f>IF(A10="","",COUNTA(D10:K10))</f>
        <v/>
      </c>
      <c r="Q10" s="15">
        <f>IF(A10="","",COUNTA(L10:O10))</f>
        <v/>
      </c>
      <c r="R10" s="15">
        <f>IF(A10="","",P10+Q10)</f>
        <v/>
      </c>
      <c r="S10" s="15">
        <f>IF(A10="","",IF(R10=0,"",IF(R10&gt;4,"❌ Over 4 events",IF(AND(R10=4,NOT(OR(AND(P10=3,Q10=1),AND(P10=1,Q10=3)))),"⚠ Must be 3+1 or 1+3","✓ OK"))))</f>
        <v/>
      </c>
    </row>
    <row r="11">
      <c r="A11" s="9">
        <f>IF(Roster!A10="","",Roster!A10)</f>
        <v/>
      </c>
      <c r="B11" s="10">
        <f>IF(Roster!B10="","",Roster!B10)</f>
        <v/>
      </c>
      <c r="C11" s="10">
        <f>IF(Roster!C10="","",Roster!C10)</f>
        <v/>
      </c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5">
        <f>IF(A11="","",COUNTA(D11:K11))</f>
        <v/>
      </c>
      <c r="Q11" s="15">
        <f>IF(A11="","",COUNTA(L11:O11))</f>
        <v/>
      </c>
      <c r="R11" s="15">
        <f>IF(A11="","",P11+Q11)</f>
        <v/>
      </c>
      <c r="S11" s="15">
        <f>IF(A11="","",IF(R11=0,"",IF(R11&gt;4,"❌ Over 4 events",IF(AND(R11=4,NOT(OR(AND(P11=3,Q11=1),AND(P11=1,Q11=3)))),"⚠ Must be 3+1 or 1+3","✓ OK"))))</f>
        <v/>
      </c>
    </row>
    <row r="12">
      <c r="A12" s="9">
        <f>IF(Roster!A11="","",Roster!A11)</f>
        <v/>
      </c>
      <c r="B12" s="10">
        <f>IF(Roster!B11="","",Roster!B11)</f>
        <v/>
      </c>
      <c r="C12" s="10">
        <f>IF(Roster!C11="","",Roster!C11)</f>
        <v/>
      </c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5">
        <f>IF(A12="","",COUNTA(D12:K12))</f>
        <v/>
      </c>
      <c r="Q12" s="15">
        <f>IF(A12="","",COUNTA(L12:O12))</f>
        <v/>
      </c>
      <c r="R12" s="15">
        <f>IF(A12="","",P12+Q12)</f>
        <v/>
      </c>
      <c r="S12" s="15">
        <f>IF(A12="","",IF(R12=0,"",IF(R12&gt;4,"❌ Over 4 events",IF(AND(R12=4,NOT(OR(AND(P12=3,Q12=1),AND(P12=1,Q12=3)))),"⚠ Must be 3+1 or 1+3","✓ OK"))))</f>
        <v/>
      </c>
    </row>
    <row r="13">
      <c r="A13" s="9">
        <f>IF(Roster!A12="","",Roster!A12)</f>
        <v/>
      </c>
      <c r="B13" s="10">
        <f>IF(Roster!B12="","",Roster!B12)</f>
        <v/>
      </c>
      <c r="C13" s="10">
        <f>IF(Roster!C12="","",Roster!C12)</f>
        <v/>
      </c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5">
        <f>IF(A13="","",COUNTA(D13:K13))</f>
        <v/>
      </c>
      <c r="Q13" s="15">
        <f>IF(A13="","",COUNTA(L13:O13))</f>
        <v/>
      </c>
      <c r="R13" s="15">
        <f>IF(A13="","",P13+Q13)</f>
        <v/>
      </c>
      <c r="S13" s="15">
        <f>IF(A13="","",IF(R13=0,"",IF(R13&gt;4,"❌ Over 4 events",IF(AND(R13=4,NOT(OR(AND(P13=3,Q13=1),AND(P13=1,Q13=3)))),"⚠ Must be 3+1 or 1+3","✓ OK"))))</f>
        <v/>
      </c>
    </row>
    <row r="14">
      <c r="A14" s="9">
        <f>IF(Roster!A13="","",Roster!A13)</f>
        <v/>
      </c>
      <c r="B14" s="10">
        <f>IF(Roster!B13="","",Roster!B13)</f>
        <v/>
      </c>
      <c r="C14" s="10">
        <f>IF(Roster!C13="","",Roster!C13)</f>
        <v/>
      </c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5">
        <f>IF(A14="","",COUNTA(D14:K14))</f>
        <v/>
      </c>
      <c r="Q14" s="15">
        <f>IF(A14="","",COUNTA(L14:O14))</f>
        <v/>
      </c>
      <c r="R14" s="15">
        <f>IF(A14="","",P14+Q14)</f>
        <v/>
      </c>
      <c r="S14" s="15">
        <f>IF(A14="","",IF(R14=0,"",IF(R14&gt;4,"❌ Over 4 events",IF(AND(R14=4,NOT(OR(AND(P14=3,Q14=1),AND(P14=1,Q14=3)))),"⚠ Must be 3+1 or 1+3","✓ OK"))))</f>
        <v/>
      </c>
    </row>
    <row r="15">
      <c r="A15" s="9">
        <f>IF(Roster!A14="","",Roster!A14)</f>
        <v/>
      </c>
      <c r="B15" s="10">
        <f>IF(Roster!B14="","",Roster!B14)</f>
        <v/>
      </c>
      <c r="C15" s="10">
        <f>IF(Roster!C14="","",Roster!C14)</f>
        <v/>
      </c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5">
        <f>IF(A15="","",COUNTA(D15:K15))</f>
        <v/>
      </c>
      <c r="Q15" s="15">
        <f>IF(A15="","",COUNTA(L15:O15))</f>
        <v/>
      </c>
      <c r="R15" s="15">
        <f>IF(A15="","",P15+Q15)</f>
        <v/>
      </c>
      <c r="S15" s="15">
        <f>IF(A15="","",IF(R15=0,"",IF(R15&gt;4,"❌ Over 4 events",IF(AND(R15=4,NOT(OR(AND(P15=3,Q15=1),AND(P15=1,Q15=3)))),"⚠ Must be 3+1 or 1+3","✓ OK"))))</f>
        <v/>
      </c>
    </row>
    <row r="16">
      <c r="A16" s="9">
        <f>IF(Roster!A15="","",Roster!A15)</f>
        <v/>
      </c>
      <c r="B16" s="10">
        <f>IF(Roster!B15="","",Roster!B15)</f>
        <v/>
      </c>
      <c r="C16" s="10">
        <f>IF(Roster!C15="","",Roster!C15)</f>
        <v/>
      </c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5">
        <f>IF(A16="","",COUNTA(D16:K16))</f>
        <v/>
      </c>
      <c r="Q16" s="15">
        <f>IF(A16="","",COUNTA(L16:O16))</f>
        <v/>
      </c>
      <c r="R16" s="15">
        <f>IF(A16="","",P16+Q16)</f>
        <v/>
      </c>
      <c r="S16" s="15">
        <f>IF(A16="","",IF(R16=0,"",IF(R16&gt;4,"❌ Over 4 events",IF(AND(R16=4,NOT(OR(AND(P16=3,Q16=1),AND(P16=1,Q16=3)))),"⚠ Must be 3+1 or 1+3","✓ OK"))))</f>
        <v/>
      </c>
    </row>
    <row r="17">
      <c r="A17" s="9">
        <f>IF(Roster!A16="","",Roster!A16)</f>
        <v/>
      </c>
      <c r="B17" s="10">
        <f>IF(Roster!B16="","",Roster!B16)</f>
        <v/>
      </c>
      <c r="C17" s="10">
        <f>IF(Roster!C16="","",Roster!C16)</f>
        <v/>
      </c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5">
        <f>IF(A17="","",COUNTA(D17:K17))</f>
        <v/>
      </c>
      <c r="Q17" s="15">
        <f>IF(A17="","",COUNTA(L17:O17))</f>
        <v/>
      </c>
      <c r="R17" s="15">
        <f>IF(A17="","",P17+Q17)</f>
        <v/>
      </c>
      <c r="S17" s="15">
        <f>IF(A17="","",IF(R17=0,"",IF(R17&gt;4,"❌ Over 4 events",IF(AND(R17=4,NOT(OR(AND(P17=3,Q17=1),AND(P17=1,Q17=3)))),"⚠ Must be 3+1 or 1+3","✓ OK"))))</f>
        <v/>
      </c>
    </row>
    <row r="18">
      <c r="A18" s="9">
        <f>IF(Roster!A17="","",Roster!A17)</f>
        <v/>
      </c>
      <c r="B18" s="10">
        <f>IF(Roster!B17="","",Roster!B17)</f>
        <v/>
      </c>
      <c r="C18" s="10">
        <f>IF(Roster!C17="","",Roster!C17)</f>
        <v/>
      </c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5">
        <f>IF(A18="","",COUNTA(D18:K18))</f>
        <v/>
      </c>
      <c r="Q18" s="15">
        <f>IF(A18="","",COUNTA(L18:O18))</f>
        <v/>
      </c>
      <c r="R18" s="15">
        <f>IF(A18="","",P18+Q18)</f>
        <v/>
      </c>
      <c r="S18" s="15">
        <f>IF(A18="","",IF(R18=0,"",IF(R18&gt;4,"❌ Over 4 events",IF(AND(R18=4,NOT(OR(AND(P18=3,Q18=1),AND(P18=1,Q18=3)))),"⚠ Must be 3+1 or 1+3","✓ OK"))))</f>
        <v/>
      </c>
    </row>
    <row r="19">
      <c r="A19" s="9">
        <f>IF(Roster!A18="","",Roster!A18)</f>
        <v/>
      </c>
      <c r="B19" s="10">
        <f>IF(Roster!B18="","",Roster!B18)</f>
        <v/>
      </c>
      <c r="C19" s="10">
        <f>IF(Roster!C18="","",Roster!C18)</f>
        <v/>
      </c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5">
        <f>IF(A19="","",COUNTA(D19:K19))</f>
        <v/>
      </c>
      <c r="Q19" s="15">
        <f>IF(A19="","",COUNTA(L19:O19))</f>
        <v/>
      </c>
      <c r="R19" s="15">
        <f>IF(A19="","",P19+Q19)</f>
        <v/>
      </c>
      <c r="S19" s="15">
        <f>IF(A19="","",IF(R19=0,"",IF(R19&gt;4,"❌ Over 4 events",IF(AND(R19=4,NOT(OR(AND(P19=3,Q19=1),AND(P19=1,Q19=3)))),"⚠ Must be 3+1 or 1+3","✓ OK"))))</f>
        <v/>
      </c>
    </row>
    <row r="20">
      <c r="A20" s="9">
        <f>IF(Roster!A19="","",Roster!A19)</f>
        <v/>
      </c>
      <c r="B20" s="10">
        <f>IF(Roster!B19="","",Roster!B19)</f>
        <v/>
      </c>
      <c r="C20" s="10">
        <f>IF(Roster!C19="","",Roster!C19)</f>
        <v/>
      </c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5">
        <f>IF(A20="","",COUNTA(D20:K20))</f>
        <v/>
      </c>
      <c r="Q20" s="15">
        <f>IF(A20="","",COUNTA(L20:O20))</f>
        <v/>
      </c>
      <c r="R20" s="15">
        <f>IF(A20="","",P20+Q20)</f>
        <v/>
      </c>
      <c r="S20" s="15">
        <f>IF(A20="","",IF(R20=0,"",IF(R20&gt;4,"❌ Over 4 events",IF(AND(R20=4,NOT(OR(AND(P20=3,Q20=1),AND(P20=1,Q20=3)))),"⚠ Must be 3+1 or 1+3","✓ OK"))))</f>
        <v/>
      </c>
    </row>
    <row r="21">
      <c r="A21" s="9">
        <f>IF(Roster!A20="","",Roster!A20)</f>
        <v/>
      </c>
      <c r="B21" s="10">
        <f>IF(Roster!B20="","",Roster!B20)</f>
        <v/>
      </c>
      <c r="C21" s="10">
        <f>IF(Roster!C20="","",Roster!C20)</f>
        <v/>
      </c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5">
        <f>IF(A21="","",COUNTA(D21:K21))</f>
        <v/>
      </c>
      <c r="Q21" s="15">
        <f>IF(A21="","",COUNTA(L21:O21))</f>
        <v/>
      </c>
      <c r="R21" s="15">
        <f>IF(A21="","",P21+Q21)</f>
        <v/>
      </c>
      <c r="S21" s="15">
        <f>IF(A21="","",IF(R21=0,"",IF(R21&gt;4,"❌ Over 4 events",IF(AND(R21=4,NOT(OR(AND(P21=3,Q21=1),AND(P21=1,Q21=3)))),"⚠ Must be 3+1 or 1+3","✓ OK"))))</f>
        <v/>
      </c>
    </row>
    <row r="22">
      <c r="A22" s="9">
        <f>IF(Roster!A21="","",Roster!A21)</f>
        <v/>
      </c>
      <c r="B22" s="10">
        <f>IF(Roster!B21="","",Roster!B21)</f>
        <v/>
      </c>
      <c r="C22" s="10">
        <f>IF(Roster!C21="","",Roster!C21)</f>
        <v/>
      </c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5">
        <f>IF(A22="","",COUNTA(D22:K22))</f>
        <v/>
      </c>
      <c r="Q22" s="15">
        <f>IF(A22="","",COUNTA(L22:O22))</f>
        <v/>
      </c>
      <c r="R22" s="15">
        <f>IF(A22="","",P22+Q22)</f>
        <v/>
      </c>
      <c r="S22" s="15">
        <f>IF(A22="","",IF(R22=0,"",IF(R22&gt;4,"❌ Over 4 events",IF(AND(R22=4,NOT(OR(AND(P22=3,Q22=1),AND(P22=1,Q22=3)))),"⚠ Must be 3+1 or 1+3","✓ OK"))))</f>
        <v/>
      </c>
    </row>
    <row r="23">
      <c r="A23" s="9">
        <f>IF(Roster!A22="","",Roster!A22)</f>
        <v/>
      </c>
      <c r="B23" s="10">
        <f>IF(Roster!B22="","",Roster!B22)</f>
        <v/>
      </c>
      <c r="C23" s="10">
        <f>IF(Roster!C22="","",Roster!C22)</f>
        <v/>
      </c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5">
        <f>IF(A23="","",COUNTA(D23:K23))</f>
        <v/>
      </c>
      <c r="Q23" s="15">
        <f>IF(A23="","",COUNTA(L23:O23))</f>
        <v/>
      </c>
      <c r="R23" s="15">
        <f>IF(A23="","",P23+Q23)</f>
        <v/>
      </c>
      <c r="S23" s="15">
        <f>IF(A23="","",IF(R23=0,"",IF(R23&gt;4,"❌ Over 4 events",IF(AND(R23=4,NOT(OR(AND(P23=3,Q23=1),AND(P23=1,Q23=3)))),"⚠ Must be 3+1 or 1+3","✓ OK"))))</f>
        <v/>
      </c>
    </row>
    <row r="24">
      <c r="A24" s="9">
        <f>IF(Roster!A23="","",Roster!A23)</f>
        <v/>
      </c>
      <c r="B24" s="10">
        <f>IF(Roster!B23="","",Roster!B23)</f>
        <v/>
      </c>
      <c r="C24" s="10">
        <f>IF(Roster!C23="","",Roster!C23)</f>
        <v/>
      </c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5">
        <f>IF(A24="","",COUNTA(D24:K24))</f>
        <v/>
      </c>
      <c r="Q24" s="15">
        <f>IF(A24="","",COUNTA(L24:O24))</f>
        <v/>
      </c>
      <c r="R24" s="15">
        <f>IF(A24="","",P24+Q24)</f>
        <v/>
      </c>
      <c r="S24" s="15">
        <f>IF(A24="","",IF(R24=0,"",IF(R24&gt;4,"❌ Over 4 events",IF(AND(R24=4,NOT(OR(AND(P24=3,Q24=1),AND(P24=1,Q24=3)))),"⚠ Must be 3+1 or 1+3","✓ OK"))))</f>
        <v/>
      </c>
    </row>
    <row r="25">
      <c r="A25" s="9">
        <f>IF(Roster!A24="","",Roster!A24)</f>
        <v/>
      </c>
      <c r="B25" s="10">
        <f>IF(Roster!B24="","",Roster!B24)</f>
        <v/>
      </c>
      <c r="C25" s="10">
        <f>IF(Roster!C24="","",Roster!C24)</f>
        <v/>
      </c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5">
        <f>IF(A25="","",COUNTA(D25:K25))</f>
        <v/>
      </c>
      <c r="Q25" s="15">
        <f>IF(A25="","",COUNTA(L25:O25))</f>
        <v/>
      </c>
      <c r="R25" s="15">
        <f>IF(A25="","",P25+Q25)</f>
        <v/>
      </c>
      <c r="S25" s="15">
        <f>IF(A25="","",IF(R25=0,"",IF(R25&gt;4,"❌ Over 4 events",IF(AND(R25=4,NOT(OR(AND(P25=3,Q25=1),AND(P25=1,Q25=3)))),"⚠ Must be 3+1 or 1+3","✓ OK"))))</f>
        <v/>
      </c>
    </row>
    <row r="26">
      <c r="A26" s="9">
        <f>IF(Roster!A25="","",Roster!A25)</f>
        <v/>
      </c>
      <c r="B26" s="10">
        <f>IF(Roster!B25="","",Roster!B25)</f>
        <v/>
      </c>
      <c r="C26" s="10">
        <f>IF(Roster!C25="","",Roster!C25)</f>
        <v/>
      </c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5">
        <f>IF(A26="","",COUNTA(D26:K26))</f>
        <v/>
      </c>
      <c r="Q26" s="15">
        <f>IF(A26="","",COUNTA(L26:O26))</f>
        <v/>
      </c>
      <c r="R26" s="15">
        <f>IF(A26="","",P26+Q26)</f>
        <v/>
      </c>
      <c r="S26" s="15">
        <f>IF(A26="","",IF(R26=0,"",IF(R26&gt;4,"❌ Over 4 events",IF(AND(R26=4,NOT(OR(AND(P26=3,Q26=1),AND(P26=1,Q26=3)))),"⚠ Must be 3+1 or 1+3","✓ OK"))))</f>
        <v/>
      </c>
    </row>
    <row r="27">
      <c r="A27" s="9">
        <f>IF(Roster!A26="","",Roster!A26)</f>
        <v/>
      </c>
      <c r="B27" s="10">
        <f>IF(Roster!B26="","",Roster!B26)</f>
        <v/>
      </c>
      <c r="C27" s="10">
        <f>IF(Roster!C26="","",Roster!C26)</f>
        <v/>
      </c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5">
        <f>IF(A27="","",COUNTA(D27:K27))</f>
        <v/>
      </c>
      <c r="Q27" s="15">
        <f>IF(A27="","",COUNTA(L27:O27))</f>
        <v/>
      </c>
      <c r="R27" s="15">
        <f>IF(A27="","",P27+Q27)</f>
        <v/>
      </c>
      <c r="S27" s="15">
        <f>IF(A27="","",IF(R27=0,"",IF(R27&gt;4,"❌ Over 4 events",IF(AND(R27=4,NOT(OR(AND(P27=3,Q27=1),AND(P27=1,Q27=3)))),"⚠ Must be 3+1 or 1+3","✓ OK"))))</f>
        <v/>
      </c>
    </row>
    <row r="28">
      <c r="A28" s="9">
        <f>IF(Roster!A27="","",Roster!A27)</f>
        <v/>
      </c>
      <c r="B28" s="10">
        <f>IF(Roster!B27="","",Roster!B27)</f>
        <v/>
      </c>
      <c r="C28" s="10">
        <f>IF(Roster!C27="","",Roster!C27)</f>
        <v/>
      </c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5">
        <f>IF(A28="","",COUNTA(D28:K28))</f>
        <v/>
      </c>
      <c r="Q28" s="15">
        <f>IF(A28="","",COUNTA(L28:O28))</f>
        <v/>
      </c>
      <c r="R28" s="15">
        <f>IF(A28="","",P28+Q28)</f>
        <v/>
      </c>
      <c r="S28" s="15">
        <f>IF(A28="","",IF(R28=0,"",IF(R28&gt;4,"❌ Over 4 events",IF(AND(R28=4,NOT(OR(AND(P28=3,Q28=1),AND(P28=1,Q28=3)))),"⚠ Must be 3+1 or 1+3","✓ OK"))))</f>
        <v/>
      </c>
    </row>
  </sheetData>
  <mergeCells count="4">
    <mergeCell ref="L2:O2"/>
    <mergeCell ref="P2:S2"/>
    <mergeCell ref="A1:S1"/>
    <mergeCell ref="D2:K2"/>
  </mergeCells>
  <conditionalFormatting sqref="R4:R28">
    <cfRule type="cellIs" priority="1" operator="greaterThan" dxfId="0">
      <formula>4</formula>
    </cfRule>
  </conditionalFormatting>
  <conditionalFormatting sqref="S4:S28">
    <cfRule type="expression" priority="2" dxfId="0">
      <formula>ISNUMBER(SEARCH("❌",S4))</formula>
    </cfRule>
    <cfRule type="expression" priority="3" dxfId="1">
      <formula>ISNUMBER(SEARCH("⚠",S4))</formula>
    </cfRule>
    <cfRule type="expression" priority="4" dxfId="2">
      <formula>ISNUMBER(SEARCH("OK",S4))</formula>
    </cfRule>
  </conditionalFormatting>
  <dataValidations count="12">
    <dataValidation sqref="D4:D28" showDropDown="0" showInputMessage="0" showErrorMessage="0" allowBlank="1" errorTitle="Invalid entry" error="Use X to enter this event." type="list">
      <formula1>"X"</formula1>
    </dataValidation>
    <dataValidation sqref="E4:E28" showDropDown="0" showInputMessage="0" showErrorMessage="0" allowBlank="1" errorTitle="Invalid entry" error="Use X to enter this event." type="list">
      <formula1>"X"</formula1>
    </dataValidation>
    <dataValidation sqref="F4:F28" showDropDown="0" showInputMessage="0" showErrorMessage="0" allowBlank="1" errorTitle="Invalid entry" error="Use X to enter this event." type="list">
      <formula1>"X"</formula1>
    </dataValidation>
    <dataValidation sqref="G4:G28" showDropDown="0" showInputMessage="0" showErrorMessage="0" allowBlank="1" errorTitle="Invalid entry" error="Use X to enter this event." type="list">
      <formula1>"X"</formula1>
    </dataValidation>
    <dataValidation sqref="H4:H28" showDropDown="0" showInputMessage="0" showErrorMessage="0" allowBlank="1" errorTitle="Invalid entry" error="Use X for individual, or A/B/C/D for relay teams." type="list">
      <formula1>"X,A,B,C,D"</formula1>
    </dataValidation>
    <dataValidation sqref="I4:I28" showDropDown="0" showInputMessage="0" showErrorMessage="0" allowBlank="1" errorTitle="Invalid entry" error="Use X to enter this event." type="list">
      <formula1>"X"</formula1>
    </dataValidation>
    <dataValidation sqref="J4:J28" showDropDown="0" showInputMessage="0" showErrorMessage="0" allowBlank="1" errorTitle="Invalid entry" error="Use X to enter this event." type="list">
      <formula1>"X"</formula1>
    </dataValidation>
    <dataValidation sqref="K4:K28" showDropDown="0" showInputMessage="0" showErrorMessage="0" allowBlank="1" errorTitle="Invalid entry" error="Use X for individual, or A/B/C/D for relay teams." type="list">
      <formula1>"X,A,B,C,D"</formula1>
    </dataValidation>
    <dataValidation sqref="L4:L28" showDropDown="0" showInputMessage="0" showErrorMessage="0" allowBlank="1" errorTitle="Invalid entry" error="Use X to enter this event." type="list">
      <formula1>"X"</formula1>
    </dataValidation>
    <dataValidation sqref="M4:M28" showDropDown="0" showInputMessage="0" showErrorMessage="0" allowBlank="1" errorTitle="Invalid entry" error="Use X to enter this event." type="list">
      <formula1>"X"</formula1>
    </dataValidation>
    <dataValidation sqref="N4:N28" showDropDown="0" showInputMessage="0" showErrorMessage="0" allowBlank="1" errorTitle="Invalid entry" error="Use X to enter this event." type="list">
      <formula1>"X"</formula1>
    </dataValidation>
    <dataValidation sqref="O4:O28" showDropDown="0" showInputMessage="0" showErrorMessage="0" allowBlank="1" errorTitle="Invalid entry" error="Use X to enter this event." type="list">
      <formula1>"X"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2" customHeight="1">
      <c r="A1" s="7" t="inlineStr">
        <is>
          <t>By Event — Prior Lake Meet (auto-populated heat sheet)</t>
        </is>
      </c>
    </row>
    <row r="3">
      <c r="A3" s="16" t="inlineStr">
        <is>
          <t>RUNNING EVENTS</t>
        </is>
      </c>
    </row>
    <row r="4">
      <c r="A4" s="17" t="inlineStr">
        <is>
          <t>100m Low Hurdles</t>
        </is>
      </c>
    </row>
    <row r="5">
      <c r="A5" s="18" t="inlineStr">
        <is>
          <t>6/7 Girls</t>
        </is>
      </c>
      <c r="B5" s="19">
        <f>IFERROR(TEXTJOIN(", ",TRUE,FILTER(Signup!$A$4:$A$28,(Signup!$D$4:$D$28="X")*(((Signup!$B$4:$B$28=6)+(Signup!$B$4:$B$28=7))&gt;0)*(Signup!$C$4:$C$28="F"))),"")</f>
        <v/>
      </c>
    </row>
    <row r="6">
      <c r="A6" s="18" t="inlineStr">
        <is>
          <t>8 Girls</t>
        </is>
      </c>
      <c r="B6" s="19">
        <f>IFERROR(TEXTJOIN(", ",TRUE,FILTER(Signup!$A$4:$A$28,(Signup!$D$4:$D$28="X")*(Signup!$B$4:$B$28=8)*(Signup!$C$4:$C$28="F"))),"")</f>
        <v/>
      </c>
    </row>
    <row r="7">
      <c r="A7" s="18" t="inlineStr">
        <is>
          <t>6/7 Boys</t>
        </is>
      </c>
      <c r="B7" s="19">
        <f>IFERROR(TEXTJOIN(", ",TRUE,FILTER(Signup!$A$4:$A$28,(Signup!$D$4:$D$28="X")*(((Signup!$B$4:$B$28=6)+(Signup!$B$4:$B$28=7))&gt;0)*(Signup!$C$4:$C$28="M"))),"")</f>
        <v/>
      </c>
    </row>
    <row r="8">
      <c r="A8" s="18" t="inlineStr">
        <is>
          <t>8 Boys</t>
        </is>
      </c>
      <c r="B8" s="19">
        <f>IFERROR(TEXTJOIN(", ",TRUE,FILTER(Signup!$A$4:$A$28,(Signup!$D$4:$D$28="X")*(Signup!$B$4:$B$28=8)*(Signup!$C$4:$C$28="M"))),"")</f>
        <v/>
      </c>
    </row>
    <row r="9">
      <c r="A9" s="18" t="inlineStr">
        <is>
          <t>5th Grade Girls</t>
        </is>
      </c>
      <c r="B9" s="19">
        <f>IFERROR(TEXTJOIN(", ",TRUE,FILTER(Signup!$A$4:$A$28,(Signup!$D$4:$D$28="X")*(Signup!$B$4:$B$28=5)*(Signup!$C$4:$C$28="F"))),"")</f>
        <v/>
      </c>
    </row>
    <row r="10">
      <c r="A10" s="18" t="inlineStr">
        <is>
          <t>5th Grade Boys</t>
        </is>
      </c>
      <c r="B10" s="19">
        <f>IFERROR(TEXTJOIN(", ",TRUE,FILTER(Signup!$A$4:$A$28,(Signup!$D$4:$D$28="X")*(Signup!$B$4:$B$28=5)*(Signup!$C$4:$C$28="M"))),"")</f>
        <v/>
      </c>
    </row>
    <row r="12">
      <c r="A12" s="17" t="inlineStr">
        <is>
          <t>100m Dash</t>
        </is>
      </c>
    </row>
    <row r="13">
      <c r="A13" s="18" t="inlineStr">
        <is>
          <t>6/7 Girls</t>
        </is>
      </c>
      <c r="B13" s="19">
        <f>IFERROR(TEXTJOIN(", ",TRUE,FILTER(Signup!$A$4:$A$28,(Signup!$E$4:$E$28="X")*(((Signup!$B$4:$B$28=6)+(Signup!$B$4:$B$28=7))&gt;0)*(Signup!$C$4:$C$28="F"))),"")</f>
        <v/>
      </c>
    </row>
    <row r="14">
      <c r="A14" s="18" t="inlineStr">
        <is>
          <t>8 Girls</t>
        </is>
      </c>
      <c r="B14" s="19">
        <f>IFERROR(TEXTJOIN(", ",TRUE,FILTER(Signup!$A$4:$A$28,(Signup!$E$4:$E$28="X")*(Signup!$B$4:$B$28=8)*(Signup!$C$4:$C$28="F"))),"")</f>
        <v/>
      </c>
    </row>
    <row r="15">
      <c r="A15" s="18" t="inlineStr">
        <is>
          <t>6/7 Boys</t>
        </is>
      </c>
      <c r="B15" s="19">
        <f>IFERROR(TEXTJOIN(", ",TRUE,FILTER(Signup!$A$4:$A$28,(Signup!$E$4:$E$28="X")*(((Signup!$B$4:$B$28=6)+(Signup!$B$4:$B$28=7))&gt;0)*(Signup!$C$4:$C$28="M"))),"")</f>
        <v/>
      </c>
    </row>
    <row r="16">
      <c r="A16" s="18" t="inlineStr">
        <is>
          <t>8 Boys</t>
        </is>
      </c>
      <c r="B16" s="19">
        <f>IFERROR(TEXTJOIN(", ",TRUE,FILTER(Signup!$A$4:$A$28,(Signup!$E$4:$E$28="X")*(Signup!$B$4:$B$28=8)*(Signup!$C$4:$C$28="M"))),"")</f>
        <v/>
      </c>
    </row>
    <row r="17">
      <c r="A17" s="18" t="inlineStr">
        <is>
          <t>5th Grade Girls</t>
        </is>
      </c>
      <c r="B17" s="19">
        <f>IFERROR(TEXTJOIN(", ",TRUE,FILTER(Signup!$A$4:$A$28,(Signup!$E$4:$E$28="X")*(Signup!$B$4:$B$28=5)*(Signup!$C$4:$C$28="F"))),"")</f>
        <v/>
      </c>
    </row>
    <row r="18">
      <c r="A18" s="18" t="inlineStr">
        <is>
          <t>5th Grade Boys</t>
        </is>
      </c>
      <c r="B18" s="19">
        <f>IFERROR(TEXTJOIN(", ",TRUE,FILTER(Signup!$A$4:$A$28,(Signup!$E$4:$E$28="X")*(Signup!$B$4:$B$28=5)*(Signup!$C$4:$C$28="M"))),"")</f>
        <v/>
      </c>
    </row>
    <row r="20">
      <c r="A20" s="17" t="inlineStr">
        <is>
          <t>1600m Run</t>
        </is>
      </c>
    </row>
    <row r="21">
      <c r="A21" s="18" t="inlineStr">
        <is>
          <t>6/7 Girls</t>
        </is>
      </c>
      <c r="B21" s="19">
        <f>IFERROR(TEXTJOIN(", ",TRUE,FILTER(Signup!$A$4:$A$28,(Signup!$F$4:$F$28="X")*(((Signup!$B$4:$B$28=6)+(Signup!$B$4:$B$28=7))&gt;0)*(Signup!$C$4:$C$28="F"))),"")</f>
        <v/>
      </c>
    </row>
    <row r="22">
      <c r="A22" s="18" t="inlineStr">
        <is>
          <t>8 Girls</t>
        </is>
      </c>
      <c r="B22" s="19">
        <f>IFERROR(TEXTJOIN(", ",TRUE,FILTER(Signup!$A$4:$A$28,(Signup!$F$4:$F$28="X")*(Signup!$B$4:$B$28=8)*(Signup!$C$4:$C$28="F"))),"")</f>
        <v/>
      </c>
    </row>
    <row r="23">
      <c r="A23" s="18" t="inlineStr">
        <is>
          <t>6/7 Boys</t>
        </is>
      </c>
      <c r="B23" s="19">
        <f>IFERROR(TEXTJOIN(", ",TRUE,FILTER(Signup!$A$4:$A$28,(Signup!$F$4:$F$28="X")*(((Signup!$B$4:$B$28=6)+(Signup!$B$4:$B$28=7))&gt;0)*(Signup!$C$4:$C$28="M"))),"")</f>
        <v/>
      </c>
    </row>
    <row r="24">
      <c r="A24" s="18" t="inlineStr">
        <is>
          <t>8 Boys</t>
        </is>
      </c>
      <c r="B24" s="19">
        <f>IFERROR(TEXTJOIN(", ",TRUE,FILTER(Signup!$A$4:$A$28,(Signup!$F$4:$F$28="X")*(Signup!$B$4:$B$28=8)*(Signup!$C$4:$C$28="M"))),"")</f>
        <v/>
      </c>
    </row>
    <row r="25">
      <c r="A25" s="18" t="inlineStr">
        <is>
          <t>5th Grade Girls</t>
        </is>
      </c>
      <c r="B25" s="19">
        <f>IFERROR(TEXTJOIN(", ",TRUE,FILTER(Signup!$A$4:$A$28,(Signup!$F$4:$F$28="X")*(Signup!$B$4:$B$28=5)*(Signup!$C$4:$C$28="F"))),"")</f>
        <v/>
      </c>
    </row>
    <row r="26">
      <c r="A26" s="18" t="inlineStr">
        <is>
          <t>5th Grade Boys</t>
        </is>
      </c>
      <c r="B26" s="19">
        <f>IFERROR(TEXTJOIN(", ",TRUE,FILTER(Signup!$A$4:$A$28,(Signup!$F$4:$F$28="X")*(Signup!$B$4:$B$28=5)*(Signup!$C$4:$C$28="M"))),"")</f>
        <v/>
      </c>
    </row>
    <row r="28">
      <c r="A28" s="17" t="inlineStr">
        <is>
          <t>400m Dash</t>
        </is>
      </c>
    </row>
    <row r="29">
      <c r="A29" s="18" t="inlineStr">
        <is>
          <t>6/7 Girls</t>
        </is>
      </c>
      <c r="B29" s="19">
        <f>IFERROR(TEXTJOIN(", ",TRUE,FILTER(Signup!$A$4:$A$28,(Signup!$G$4:$G$28="X")*(((Signup!$B$4:$B$28=6)+(Signup!$B$4:$B$28=7))&gt;0)*(Signup!$C$4:$C$28="F"))),"")</f>
        <v/>
      </c>
    </row>
    <row r="30">
      <c r="A30" s="18" t="inlineStr">
        <is>
          <t>8 Girls</t>
        </is>
      </c>
      <c r="B30" s="19">
        <f>IFERROR(TEXTJOIN(", ",TRUE,FILTER(Signup!$A$4:$A$28,(Signup!$G$4:$G$28="X")*(Signup!$B$4:$B$28=8)*(Signup!$C$4:$C$28="F"))),"")</f>
        <v/>
      </c>
    </row>
    <row r="31">
      <c r="A31" s="18" t="inlineStr">
        <is>
          <t>6/7 Boys</t>
        </is>
      </c>
      <c r="B31" s="19">
        <f>IFERROR(TEXTJOIN(", ",TRUE,FILTER(Signup!$A$4:$A$28,(Signup!$G$4:$G$28="X")*(((Signup!$B$4:$B$28=6)+(Signup!$B$4:$B$28=7))&gt;0)*(Signup!$C$4:$C$28="M"))),"")</f>
        <v/>
      </c>
    </row>
    <row r="32">
      <c r="A32" s="18" t="inlineStr">
        <is>
          <t>8 Boys</t>
        </is>
      </c>
      <c r="B32" s="19">
        <f>IFERROR(TEXTJOIN(", ",TRUE,FILTER(Signup!$A$4:$A$28,(Signup!$G$4:$G$28="X")*(Signup!$B$4:$B$28=8)*(Signup!$C$4:$C$28="M"))),"")</f>
        <v/>
      </c>
    </row>
    <row r="33">
      <c r="A33" s="18" t="inlineStr">
        <is>
          <t>5th Grade Girls</t>
        </is>
      </c>
      <c r="B33" s="19">
        <f>IFERROR(TEXTJOIN(", ",TRUE,FILTER(Signup!$A$4:$A$28,(Signup!$G$4:$G$28="X")*(Signup!$B$4:$B$28=5)*(Signup!$C$4:$C$28="F"))),"")</f>
        <v/>
      </c>
    </row>
    <row r="34">
      <c r="A34" s="18" t="inlineStr">
        <is>
          <t>5th Grade Boys</t>
        </is>
      </c>
      <c r="B34" s="19">
        <f>IFERROR(TEXTJOIN(", ",TRUE,FILTER(Signup!$A$4:$A$28,(Signup!$G$4:$G$28="X")*(Signup!$B$4:$B$28=5)*(Signup!$C$4:$C$28="M"))),"")</f>
        <v/>
      </c>
    </row>
    <row r="36">
      <c r="A36" s="17" t="inlineStr">
        <is>
          <t>4x100m Relay</t>
        </is>
      </c>
    </row>
    <row r="37">
      <c r="A37" s="18" t="inlineStr">
        <is>
          <t>Team A</t>
        </is>
      </c>
      <c r="B37" s="19">
        <f>IFERROR(TEXTJOIN(", ",TRUE,FILTER(Signup!$A$4:$A$28,Signup!$H$4:$H$28="A")),"")</f>
        <v/>
      </c>
    </row>
    <row r="38">
      <c r="A38" s="18" t="inlineStr">
        <is>
          <t>Team B</t>
        </is>
      </c>
      <c r="B38" s="19">
        <f>IFERROR(TEXTJOIN(", ",TRUE,FILTER(Signup!$A$4:$A$28,Signup!$H$4:$H$28="B")),"")</f>
        <v/>
      </c>
    </row>
    <row r="39">
      <c r="A39" s="18" t="inlineStr">
        <is>
          <t>Team C</t>
        </is>
      </c>
      <c r="B39" s="19">
        <f>IFERROR(TEXTJOIN(", ",TRUE,FILTER(Signup!$A$4:$A$28,Signup!$H$4:$H$28="C")),"")</f>
        <v/>
      </c>
    </row>
    <row r="40">
      <c r="A40" s="18" t="inlineStr">
        <is>
          <t>Team D</t>
        </is>
      </c>
      <c r="B40" s="19">
        <f>IFERROR(TEXTJOIN(", ",TRUE,FILTER(Signup!$A$4:$A$28,Signup!$H$4:$H$28="D")),"")</f>
        <v/>
      </c>
    </row>
    <row r="42">
      <c r="A42" s="17" t="inlineStr">
        <is>
          <t>200m Dash</t>
        </is>
      </c>
    </row>
    <row r="43">
      <c r="A43" s="18" t="inlineStr">
        <is>
          <t>6/7 Girls</t>
        </is>
      </c>
      <c r="B43" s="19">
        <f>IFERROR(TEXTJOIN(", ",TRUE,FILTER(Signup!$A$4:$A$28,(Signup!$I$4:$I$28="X")*(((Signup!$B$4:$B$28=6)+(Signup!$B$4:$B$28=7))&gt;0)*(Signup!$C$4:$C$28="F"))),"")</f>
        <v/>
      </c>
    </row>
    <row r="44">
      <c r="A44" s="18" t="inlineStr">
        <is>
          <t>8 Girls</t>
        </is>
      </c>
      <c r="B44" s="19">
        <f>IFERROR(TEXTJOIN(", ",TRUE,FILTER(Signup!$A$4:$A$28,(Signup!$I$4:$I$28="X")*(Signup!$B$4:$B$28=8)*(Signup!$C$4:$C$28="F"))),"")</f>
        <v/>
      </c>
    </row>
    <row r="45">
      <c r="A45" s="18" t="inlineStr">
        <is>
          <t>6/7 Boys</t>
        </is>
      </c>
      <c r="B45" s="19">
        <f>IFERROR(TEXTJOIN(", ",TRUE,FILTER(Signup!$A$4:$A$28,(Signup!$I$4:$I$28="X")*(((Signup!$B$4:$B$28=6)+(Signup!$B$4:$B$28=7))&gt;0)*(Signup!$C$4:$C$28="M"))),"")</f>
        <v/>
      </c>
    </row>
    <row r="46">
      <c r="A46" s="18" t="inlineStr">
        <is>
          <t>8 Boys</t>
        </is>
      </c>
      <c r="B46" s="19">
        <f>IFERROR(TEXTJOIN(", ",TRUE,FILTER(Signup!$A$4:$A$28,(Signup!$I$4:$I$28="X")*(Signup!$B$4:$B$28=8)*(Signup!$C$4:$C$28="M"))),"")</f>
        <v/>
      </c>
    </row>
    <row r="47">
      <c r="A47" s="18" t="inlineStr">
        <is>
          <t>5th Grade Girls</t>
        </is>
      </c>
      <c r="B47" s="19">
        <f>IFERROR(TEXTJOIN(", ",TRUE,FILTER(Signup!$A$4:$A$28,(Signup!$I$4:$I$28="X")*(Signup!$B$4:$B$28=5)*(Signup!$C$4:$C$28="F"))),"")</f>
        <v/>
      </c>
    </row>
    <row r="48">
      <c r="A48" s="18" t="inlineStr">
        <is>
          <t>5th Grade Boys</t>
        </is>
      </c>
      <c r="B48" s="19">
        <f>IFERROR(TEXTJOIN(", ",TRUE,FILTER(Signup!$A$4:$A$28,(Signup!$I$4:$I$28="X")*(Signup!$B$4:$B$28=5)*(Signup!$C$4:$C$28="M"))),"")</f>
        <v/>
      </c>
    </row>
    <row r="50">
      <c r="A50" s="17" t="inlineStr">
        <is>
          <t>800m Run</t>
        </is>
      </c>
    </row>
    <row r="51">
      <c r="A51" s="18" t="inlineStr">
        <is>
          <t>6/7 Girls</t>
        </is>
      </c>
      <c r="B51" s="19">
        <f>IFERROR(TEXTJOIN(", ",TRUE,FILTER(Signup!$A$4:$A$28,(Signup!$J$4:$J$28="X")*(((Signup!$B$4:$B$28=6)+(Signup!$B$4:$B$28=7))&gt;0)*(Signup!$C$4:$C$28="F"))),"")</f>
        <v/>
      </c>
    </row>
    <row r="52">
      <c r="A52" s="18" t="inlineStr">
        <is>
          <t>8 Girls</t>
        </is>
      </c>
      <c r="B52" s="19">
        <f>IFERROR(TEXTJOIN(", ",TRUE,FILTER(Signup!$A$4:$A$28,(Signup!$J$4:$J$28="X")*(Signup!$B$4:$B$28=8)*(Signup!$C$4:$C$28="F"))),"")</f>
        <v/>
      </c>
    </row>
    <row r="53">
      <c r="A53" s="18" t="inlineStr">
        <is>
          <t>6/7 Boys</t>
        </is>
      </c>
      <c r="B53" s="19">
        <f>IFERROR(TEXTJOIN(", ",TRUE,FILTER(Signup!$A$4:$A$28,(Signup!$J$4:$J$28="X")*(((Signup!$B$4:$B$28=6)+(Signup!$B$4:$B$28=7))&gt;0)*(Signup!$C$4:$C$28="M"))),"")</f>
        <v/>
      </c>
    </row>
    <row r="54">
      <c r="A54" s="18" t="inlineStr">
        <is>
          <t>8 Boys</t>
        </is>
      </c>
      <c r="B54" s="19">
        <f>IFERROR(TEXTJOIN(", ",TRUE,FILTER(Signup!$A$4:$A$28,(Signup!$J$4:$J$28="X")*(Signup!$B$4:$B$28=8)*(Signup!$C$4:$C$28="M"))),"")</f>
        <v/>
      </c>
    </row>
    <row r="55">
      <c r="A55" s="18" t="inlineStr">
        <is>
          <t>5th Grade Girls</t>
        </is>
      </c>
      <c r="B55" s="19">
        <f>IFERROR(TEXTJOIN(", ",TRUE,FILTER(Signup!$A$4:$A$28,(Signup!$J$4:$J$28="X")*(Signup!$B$4:$B$28=5)*(Signup!$C$4:$C$28="F"))),"")</f>
        <v/>
      </c>
    </row>
    <row r="56">
      <c r="A56" s="18" t="inlineStr">
        <is>
          <t>5th Grade Boys</t>
        </is>
      </c>
      <c r="B56" s="19">
        <f>IFERROR(TEXTJOIN(", ",TRUE,FILTER(Signup!$A$4:$A$28,(Signup!$J$4:$J$28="X")*(Signup!$B$4:$B$28=5)*(Signup!$C$4:$C$28="M"))),"")</f>
        <v/>
      </c>
    </row>
    <row r="58">
      <c r="A58" s="17" t="inlineStr">
        <is>
          <t>Sprint Medley Relay (100-100-200-400)</t>
        </is>
      </c>
    </row>
    <row r="59">
      <c r="A59" s="18" t="inlineStr">
        <is>
          <t>Team A</t>
        </is>
      </c>
      <c r="B59" s="19">
        <f>IFERROR(TEXTJOIN(", ",TRUE,FILTER(Signup!$A$4:$A$28,Signup!$K$4:$K$28="A")),"")</f>
        <v/>
      </c>
    </row>
    <row r="60">
      <c r="A60" s="18" t="inlineStr">
        <is>
          <t>Team B</t>
        </is>
      </c>
      <c r="B60" s="19">
        <f>IFERROR(TEXTJOIN(", ",TRUE,FILTER(Signup!$A$4:$A$28,Signup!$K$4:$K$28="B")),"")</f>
        <v/>
      </c>
    </row>
    <row r="61">
      <c r="A61" s="18" t="inlineStr">
        <is>
          <t>Team C</t>
        </is>
      </c>
      <c r="B61" s="19">
        <f>IFERROR(TEXTJOIN(", ",TRUE,FILTER(Signup!$A$4:$A$28,Signup!$K$4:$K$28="C")),"")</f>
        <v/>
      </c>
    </row>
    <row r="62">
      <c r="A62" s="18" t="inlineStr">
        <is>
          <t>Team D</t>
        </is>
      </c>
      <c r="B62" s="19">
        <f>IFERROR(TEXTJOIN(", ",TRUE,FILTER(Signup!$A$4:$A$28,Signup!$K$4:$K$28="D")),"")</f>
        <v/>
      </c>
    </row>
    <row r="64">
      <c r="A64" s="16" t="inlineStr">
        <is>
          <t>FIELD EVENTS</t>
        </is>
      </c>
    </row>
    <row r="65">
      <c r="A65" s="20" t="inlineStr">
        <is>
          <t>High Jump</t>
        </is>
      </c>
    </row>
    <row r="66">
      <c r="A66" s="18" t="inlineStr">
        <is>
          <t>6/7 Girls</t>
        </is>
      </c>
      <c r="B66" s="19">
        <f>IFERROR(TEXTJOIN(", ",TRUE,FILTER(Signup!$A$4:$A$28,(Signup!$L$4:$L$28="X")*(((Signup!$B$4:$B$28=6)+(Signup!$B$4:$B$28=7))&gt;0)*(Signup!$C$4:$C$28="F"))),"")</f>
        <v/>
      </c>
    </row>
    <row r="67">
      <c r="A67" s="18" t="inlineStr">
        <is>
          <t>8 Girls</t>
        </is>
      </c>
      <c r="B67" s="19">
        <f>IFERROR(TEXTJOIN(", ",TRUE,FILTER(Signup!$A$4:$A$28,(Signup!$L$4:$L$28="X")*(Signup!$B$4:$B$28=8)*(Signup!$C$4:$C$28="F"))),"")</f>
        <v/>
      </c>
    </row>
    <row r="68">
      <c r="A68" s="18" t="inlineStr">
        <is>
          <t>6/7 Boys</t>
        </is>
      </c>
      <c r="B68" s="19">
        <f>IFERROR(TEXTJOIN(", ",TRUE,FILTER(Signup!$A$4:$A$28,(Signup!$L$4:$L$28="X")*(((Signup!$B$4:$B$28=6)+(Signup!$B$4:$B$28=7))&gt;0)*(Signup!$C$4:$C$28="M"))),"")</f>
        <v/>
      </c>
    </row>
    <row r="69">
      <c r="A69" s="18" t="inlineStr">
        <is>
          <t>8 Boys</t>
        </is>
      </c>
      <c r="B69" s="19">
        <f>IFERROR(TEXTJOIN(", ",TRUE,FILTER(Signup!$A$4:$A$28,(Signup!$L$4:$L$28="X")*(Signup!$B$4:$B$28=8)*(Signup!$C$4:$C$28="M"))),"")</f>
        <v/>
      </c>
    </row>
    <row r="70">
      <c r="A70" s="18" t="inlineStr">
        <is>
          <t>5th Grade Girls</t>
        </is>
      </c>
      <c r="B70" s="19">
        <f>IFERROR(TEXTJOIN(", ",TRUE,FILTER(Signup!$A$4:$A$28,(Signup!$L$4:$L$28="X")*(Signup!$B$4:$B$28=5)*(Signup!$C$4:$C$28="F"))),"")</f>
        <v/>
      </c>
    </row>
    <row r="71">
      <c r="A71" s="18" t="inlineStr">
        <is>
          <t>5th Grade Boys</t>
        </is>
      </c>
      <c r="B71" s="19">
        <f>IFERROR(TEXTJOIN(", ",TRUE,FILTER(Signup!$A$4:$A$28,(Signup!$L$4:$L$28="X")*(Signup!$B$4:$B$28=5)*(Signup!$C$4:$C$28="M"))),"")</f>
        <v/>
      </c>
    </row>
    <row r="73">
      <c r="A73" s="20" t="inlineStr">
        <is>
          <t>Long Jump</t>
        </is>
      </c>
    </row>
    <row r="74">
      <c r="A74" s="18" t="inlineStr">
        <is>
          <t>6/7 Girls</t>
        </is>
      </c>
      <c r="B74" s="19">
        <f>IFERROR(TEXTJOIN(", ",TRUE,FILTER(Signup!$A$4:$A$28,(Signup!$M$4:$M$28="X")*(((Signup!$B$4:$B$28=6)+(Signup!$B$4:$B$28=7))&gt;0)*(Signup!$C$4:$C$28="F"))),"")</f>
        <v/>
      </c>
    </row>
    <row r="75">
      <c r="A75" s="18" t="inlineStr">
        <is>
          <t>8 Girls</t>
        </is>
      </c>
      <c r="B75" s="19">
        <f>IFERROR(TEXTJOIN(", ",TRUE,FILTER(Signup!$A$4:$A$28,(Signup!$M$4:$M$28="X")*(Signup!$B$4:$B$28=8)*(Signup!$C$4:$C$28="F"))),"")</f>
        <v/>
      </c>
    </row>
    <row r="76">
      <c r="A76" s="18" t="inlineStr">
        <is>
          <t>6/7 Boys</t>
        </is>
      </c>
      <c r="B76" s="19">
        <f>IFERROR(TEXTJOIN(", ",TRUE,FILTER(Signup!$A$4:$A$28,(Signup!$M$4:$M$28="X")*(((Signup!$B$4:$B$28=6)+(Signup!$B$4:$B$28=7))&gt;0)*(Signup!$C$4:$C$28="M"))),"")</f>
        <v/>
      </c>
    </row>
    <row r="77">
      <c r="A77" s="18" t="inlineStr">
        <is>
          <t>8 Boys</t>
        </is>
      </c>
      <c r="B77" s="19">
        <f>IFERROR(TEXTJOIN(", ",TRUE,FILTER(Signup!$A$4:$A$28,(Signup!$M$4:$M$28="X")*(Signup!$B$4:$B$28=8)*(Signup!$C$4:$C$28="M"))),"")</f>
        <v/>
      </c>
    </row>
    <row r="78">
      <c r="A78" s="18" t="inlineStr">
        <is>
          <t>5th Grade Girls</t>
        </is>
      </c>
      <c r="B78" s="19">
        <f>IFERROR(TEXTJOIN(", ",TRUE,FILTER(Signup!$A$4:$A$28,(Signup!$M$4:$M$28="X")*(Signup!$B$4:$B$28=5)*(Signup!$C$4:$C$28="F"))),"")</f>
        <v/>
      </c>
    </row>
    <row r="79">
      <c r="A79" s="18" t="inlineStr">
        <is>
          <t>5th Grade Boys</t>
        </is>
      </c>
      <c r="B79" s="19">
        <f>IFERROR(TEXTJOIN(", ",TRUE,FILTER(Signup!$A$4:$A$28,(Signup!$M$4:$M$28="X")*(Signup!$B$4:$B$28=5)*(Signup!$C$4:$C$28="M"))),"")</f>
        <v/>
      </c>
    </row>
    <row r="81">
      <c r="A81" s="20" t="inlineStr">
        <is>
          <t>Shot Put (4 kg)</t>
        </is>
      </c>
    </row>
    <row r="82">
      <c r="A82" s="18" t="inlineStr">
        <is>
          <t>6/7 Girls</t>
        </is>
      </c>
      <c r="B82" s="19">
        <f>IFERROR(TEXTJOIN(", ",TRUE,FILTER(Signup!$A$4:$A$28,(Signup!$N$4:$N$28="X")*(((Signup!$B$4:$B$28=6)+(Signup!$B$4:$B$28=7))&gt;0)*(Signup!$C$4:$C$28="F"))),"")</f>
        <v/>
      </c>
    </row>
    <row r="83">
      <c r="A83" s="18" t="inlineStr">
        <is>
          <t>8 Girls</t>
        </is>
      </c>
      <c r="B83" s="19">
        <f>IFERROR(TEXTJOIN(", ",TRUE,FILTER(Signup!$A$4:$A$28,(Signup!$N$4:$N$28="X")*(Signup!$B$4:$B$28=8)*(Signup!$C$4:$C$28="F"))),"")</f>
        <v/>
      </c>
    </row>
    <row r="84">
      <c r="A84" s="18" t="inlineStr">
        <is>
          <t>6/7 Boys</t>
        </is>
      </c>
      <c r="B84" s="19">
        <f>IFERROR(TEXTJOIN(", ",TRUE,FILTER(Signup!$A$4:$A$28,(Signup!$N$4:$N$28="X")*(((Signup!$B$4:$B$28=6)+(Signup!$B$4:$B$28=7))&gt;0)*(Signup!$C$4:$C$28="M"))),"")</f>
        <v/>
      </c>
    </row>
    <row r="85">
      <c r="A85" s="18" t="inlineStr">
        <is>
          <t>8 Boys</t>
        </is>
      </c>
      <c r="B85" s="19">
        <f>IFERROR(TEXTJOIN(", ",TRUE,FILTER(Signup!$A$4:$A$28,(Signup!$N$4:$N$28="X")*(Signup!$B$4:$B$28=8)*(Signup!$C$4:$C$28="M"))),"")</f>
        <v/>
      </c>
    </row>
    <row r="86">
      <c r="A86" s="18" t="inlineStr">
        <is>
          <t>5th Grade Girls</t>
        </is>
      </c>
      <c r="B86" s="19">
        <f>IFERROR(TEXTJOIN(", ",TRUE,FILTER(Signup!$A$4:$A$28,(Signup!$N$4:$N$28="X")*(Signup!$B$4:$B$28=5)*(Signup!$C$4:$C$28="F"))),"")</f>
        <v/>
      </c>
    </row>
    <row r="87">
      <c r="A87" s="18" t="inlineStr">
        <is>
          <t>5th Grade Boys</t>
        </is>
      </c>
      <c r="B87" s="19">
        <f>IFERROR(TEXTJOIN(", ",TRUE,FILTER(Signup!$A$4:$A$28,(Signup!$N$4:$N$28="X")*(Signup!$B$4:$B$28=5)*(Signup!$C$4:$C$28="M"))),"")</f>
        <v/>
      </c>
    </row>
    <row r="89">
      <c r="A89" s="20" t="inlineStr">
        <is>
          <t>Discus (HS girls)</t>
        </is>
      </c>
    </row>
    <row r="90">
      <c r="A90" s="18" t="inlineStr">
        <is>
          <t>6/7 Girls</t>
        </is>
      </c>
      <c r="B90" s="19">
        <f>IFERROR(TEXTJOIN(", ",TRUE,FILTER(Signup!$A$4:$A$28,(Signup!$O$4:$O$28="X")*(((Signup!$B$4:$B$28=6)+(Signup!$B$4:$B$28=7))&gt;0)*(Signup!$C$4:$C$28="F"))),"")</f>
        <v/>
      </c>
    </row>
    <row r="91">
      <c r="A91" s="18" t="inlineStr">
        <is>
          <t>8 Girls</t>
        </is>
      </c>
      <c r="B91" s="19">
        <f>IFERROR(TEXTJOIN(", ",TRUE,FILTER(Signup!$A$4:$A$28,(Signup!$O$4:$O$28="X")*(Signup!$B$4:$B$28=8)*(Signup!$C$4:$C$28="F"))),"")</f>
        <v/>
      </c>
    </row>
    <row r="92">
      <c r="A92" s="18" t="inlineStr">
        <is>
          <t>6/7 Boys</t>
        </is>
      </c>
      <c r="B92" s="19">
        <f>IFERROR(TEXTJOIN(", ",TRUE,FILTER(Signup!$A$4:$A$28,(Signup!$O$4:$O$28="X")*(((Signup!$B$4:$B$28=6)+(Signup!$B$4:$B$28=7))&gt;0)*(Signup!$C$4:$C$28="M"))),"")</f>
        <v/>
      </c>
    </row>
    <row r="93">
      <c r="A93" s="18" t="inlineStr">
        <is>
          <t>8 Boys</t>
        </is>
      </c>
      <c r="B93" s="19">
        <f>IFERROR(TEXTJOIN(", ",TRUE,FILTER(Signup!$A$4:$A$28,(Signup!$O$4:$O$28="X")*(Signup!$B$4:$B$28=8)*(Signup!$C$4:$C$28="M"))),"")</f>
        <v/>
      </c>
    </row>
    <row r="94">
      <c r="A94" s="18" t="inlineStr">
        <is>
          <t>5th Grade Girls</t>
        </is>
      </c>
      <c r="B94" s="19">
        <f>IFERROR(TEXTJOIN(", ",TRUE,FILTER(Signup!$A$4:$A$28,(Signup!$O$4:$O$28="X")*(Signup!$B$4:$B$28=5)*(Signup!$C$4:$C$28="F"))),"")</f>
        <v/>
      </c>
    </row>
    <row r="95">
      <c r="A95" s="18" t="inlineStr">
        <is>
          <t>5th Grade Boys</t>
        </is>
      </c>
      <c r="B95" s="19">
        <f>IFERROR(TEXTJOIN(", ",TRUE,FILTER(Signup!$A$4:$A$28,(Signup!$O$4:$O$28="X")*(Signup!$B$4:$B$28=5)*(Signup!$C$4:$C$28="M"))),"")</f>
        <v/>
      </c>
    </row>
  </sheetData>
  <mergeCells count="15">
    <mergeCell ref="A4:B4"/>
    <mergeCell ref="A20:B20"/>
    <mergeCell ref="A64:B64"/>
    <mergeCell ref="A65:B65"/>
    <mergeCell ref="A50:B50"/>
    <mergeCell ref="A73:B73"/>
    <mergeCell ref="A81:B81"/>
    <mergeCell ref="A28:B28"/>
    <mergeCell ref="A42:B42"/>
    <mergeCell ref="A36:B36"/>
    <mergeCell ref="A89:B89"/>
    <mergeCell ref="A1:B1"/>
    <mergeCell ref="A3:B3"/>
    <mergeCell ref="A58:B58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2026-05-12T13:32:22Z</dcterms:created>
  <dcterms:modified xsi:type="dcterms:W3CDTF">2026-05-12T13:32:22Z</dcterms:modified>
</cp:coreProperties>
</file>